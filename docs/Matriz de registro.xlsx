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iderae-blenkir\docs\"/>
    </mc:Choice>
  </mc:AlternateContent>
  <xr:revisionPtr revIDLastSave="0" documentId="8_{2903C4CC-9A96-4E26-BAC0-0201E5FCD88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olts" sheetId="1" r:id="rId1"/>
    <sheet name="Resumen" sheetId="2" r:id="rId2"/>
    <sheet name="Correcciones QA" sheetId="3" r:id="rId3"/>
    <sheet name="Pendientes críticos" sheetId="5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0" i="2" l="1"/>
  <c r="C40" i="2"/>
  <c r="E40" i="2" s="1"/>
  <c r="B40" i="2"/>
  <c r="D39" i="2"/>
  <c r="C39" i="2"/>
  <c r="E39" i="2" s="1"/>
  <c r="B39" i="2"/>
  <c r="D38" i="2"/>
  <c r="C38" i="2"/>
  <c r="E38" i="2" s="1"/>
  <c r="B38" i="2"/>
  <c r="D37" i="2"/>
  <c r="C37" i="2"/>
  <c r="E37" i="2" s="1"/>
  <c r="B37" i="2"/>
  <c r="D36" i="2"/>
  <c r="C36" i="2"/>
  <c r="E36" i="2" s="1"/>
  <c r="B36" i="2"/>
  <c r="D35" i="2"/>
  <c r="C35" i="2"/>
  <c r="E35" i="2" s="1"/>
  <c r="B35" i="2"/>
  <c r="D34" i="2"/>
  <c r="C34" i="2"/>
  <c r="E34" i="2" s="1"/>
  <c r="B34" i="2"/>
  <c r="D33" i="2"/>
  <c r="C33" i="2"/>
  <c r="E33" i="2" s="1"/>
  <c r="B33" i="2"/>
  <c r="D32" i="2"/>
  <c r="C32" i="2"/>
  <c r="E32" i="2" s="1"/>
  <c r="B32" i="2"/>
  <c r="D31" i="2"/>
  <c r="C31" i="2"/>
  <c r="E31" i="2" s="1"/>
  <c r="B31" i="2"/>
  <c r="D30" i="2"/>
  <c r="C30" i="2"/>
  <c r="E30" i="2" s="1"/>
  <c r="B30" i="2"/>
  <c r="D29" i="2"/>
  <c r="C29" i="2"/>
  <c r="E29" i="2" s="1"/>
  <c r="B29" i="2"/>
  <c r="D28" i="2"/>
  <c r="C28" i="2"/>
  <c r="E28" i="2" s="1"/>
  <c r="B28" i="2"/>
  <c r="D27" i="2"/>
  <c r="C27" i="2"/>
  <c r="E27" i="2" s="1"/>
  <c r="B27" i="2"/>
  <c r="D26" i="2"/>
  <c r="C26" i="2"/>
  <c r="E26" i="2" s="1"/>
  <c r="B26" i="2"/>
  <c r="D25" i="2"/>
  <c r="C25" i="2"/>
  <c r="E25" i="2" s="1"/>
  <c r="B25" i="2"/>
  <c r="D24" i="2"/>
  <c r="C24" i="2"/>
  <c r="E24" i="2" s="1"/>
  <c r="B24" i="2"/>
  <c r="I23" i="2"/>
  <c r="J23" i="2" s="1"/>
  <c r="H23" i="2"/>
  <c r="D23" i="2"/>
  <c r="C23" i="2"/>
  <c r="E23" i="2" s="1"/>
  <c r="B23" i="2"/>
  <c r="I22" i="2"/>
  <c r="H22" i="2"/>
  <c r="J22" i="2" s="1"/>
  <c r="D22" i="2"/>
  <c r="C22" i="2"/>
  <c r="E22" i="2" s="1"/>
  <c r="B22" i="2"/>
  <c r="J21" i="2"/>
  <c r="I21" i="2"/>
  <c r="H21" i="2"/>
  <c r="E21" i="2"/>
  <c r="D21" i="2"/>
  <c r="C21" i="2"/>
  <c r="B21" i="2"/>
  <c r="E17" i="2"/>
  <c r="E16" i="2"/>
  <c r="B16" i="2"/>
  <c r="E15" i="2"/>
  <c r="B15" i="2"/>
  <c r="E14" i="2"/>
  <c r="B14" i="2"/>
  <c r="B10" i="2"/>
  <c r="G9" i="2"/>
  <c r="B9" i="2"/>
  <c r="G8" i="2"/>
  <c r="B8" i="2"/>
  <c r="G7" i="2"/>
  <c r="B7" i="2"/>
  <c r="G6" i="2"/>
  <c r="B6" i="2"/>
  <c r="B11" i="2" s="1"/>
  <c r="G5" i="2"/>
  <c r="B5" i="2"/>
</calcChain>
</file>

<file path=xl/sharedStrings.xml><?xml version="1.0" encoding="utf-8"?>
<sst xmlns="http://schemas.openxmlformats.org/spreadsheetml/2006/main" count="4004" uniqueCount="1098">
  <si>
    <t>MATRIZ DE REGISTRO BOLTS – SIDERAE-BLENKIR</t>
  </si>
  <si>
    <t>Documento de control técnico del proyecto | Revisión final: 2026-06-24 | Fuente base: matriz generada por Antigravity + auditoría QA final</t>
  </si>
  <si>
    <t>Sistema Inteligente de Detección Temprana de Riesgo Académico y Deserción Estudiantil – Colegio Blenkir</t>
  </si>
  <si>
    <t>Intent</t>
  </si>
  <si>
    <t>ID del Bolt</t>
  </si>
  <si>
    <t>Descripción del Bolt</t>
  </si>
  <si>
    <t>Fase / Módulo</t>
  </si>
  <si>
    <t>¿Implementación registrada?</t>
  </si>
  <si>
    <t>Evidencia de implementación</t>
  </si>
  <si>
    <t>¿Pruebas ejecutadas?</t>
  </si>
  <si>
    <t>Evidencia de pruebas</t>
  </si>
  <si>
    <t>Estado</t>
  </si>
  <si>
    <t>Prioridad</t>
  </si>
  <si>
    <t>Responsable</t>
  </si>
  <si>
    <t>Tipo de Bolt</t>
  </si>
  <si>
    <t>Riesgo asociado</t>
  </si>
  <si>
    <t>Observaciones</t>
  </si>
  <si>
    <t>Fecha estimada</t>
  </si>
  <si>
    <t>Fecha de cierre</t>
  </si>
  <si>
    <t>INT-001 Configurar base del proyecto y entorno</t>
  </si>
  <si>
    <t>INT-001-BOLT-001</t>
  </si>
  <si>
    <t>Configurar estructura base del repositorio del proyecto</t>
  </si>
  <si>
    <t>Entorno / DevOps</t>
  </si>
  <si>
    <t>Sí</t>
  </si>
  <si>
    <t>README.md, .gitignore, ARCHITECTURE.md, .cursorrules, AGENTS.md</t>
  </si>
  <si>
    <t>No</t>
  </si>
  <si>
    <t>No aplica</t>
  </si>
  <si>
    <t>Completado</t>
  </si>
  <si>
    <t>Alta</t>
  </si>
  <si>
    <t>Equipo SIDERAE</t>
  </si>
  <si>
    <t>DevOps</t>
  </si>
  <si>
    <t>Bajo</t>
  </si>
  <si>
    <t>Repositorio con frontend/, backend/, ml-service/, docs/, sprints/, tools/</t>
  </si>
  <si>
    <t>2026-04-20</t>
  </si>
  <si>
    <t>2026-04-23</t>
  </si>
  <si>
    <t>INT-001-BOLT-002</t>
  </si>
  <si>
    <t>Configurar Docker Compose con servicios frontend, backend, base de datos y microservicio ML</t>
  </si>
  <si>
    <t>docker-compose.yml (4 servicios: db-mysql, app-backend, app-frontend, ml-engine)</t>
  </si>
  <si>
    <t>Pendiente de adjuntar</t>
  </si>
  <si>
    <t>Docker Compose funcional con MySQL 8, Laravel, Vite y Flask</t>
  </si>
  <si>
    <t>INT-001-BOLT-003</t>
  </si>
  <si>
    <t>Configurar variables de entorno sin credenciales expuestas</t>
  </si>
  <si>
    <t>backend/.env.example, frontend/.env.example, ml-service/.env.example</t>
  </si>
  <si>
    <t>Archivos .env.example sin credenciales reales; .env en .gitignore</t>
  </si>
  <si>
    <t>INT-001-BOLT-004</t>
  </si>
  <si>
    <t>Configurar conexión Laravel con MySQL</t>
  </si>
  <si>
    <t>Backend</t>
  </si>
  <si>
    <t>backend/config/database.php, docker-compose.yml (servicio db-mysql)</t>
  </si>
  <si>
    <t>Ernesto Marcial Constantino Chuchon Sotelo</t>
  </si>
  <si>
    <t>Conexión MySQL configurada vía variables de entorno</t>
  </si>
  <si>
    <t>INT-001-BOLT-005</t>
  </si>
  <si>
    <t>Configurar frontend React con Vite</t>
  </si>
  <si>
    <t>Frontend</t>
  </si>
  <si>
    <t>frontend/vite.config.js, frontend/package.json, frontend/index.html</t>
  </si>
  <si>
    <t>Diego Ricardo Carhuamaca Vasquez</t>
  </si>
  <si>
    <t>React + Vite + TailwindCSS configurado</t>
  </si>
  <si>
    <t>INT-001-BOLT-006</t>
  </si>
  <si>
    <t>Configurar microservicio Flask para análisis de riesgo</t>
  </si>
  <si>
    <t>ML / Backend</t>
  </si>
  <si>
    <t>ml-service/main.py; backend/app/Services/MlRiskService.php</t>
  </si>
  <si>
    <t>backend/tests/Feature/RiesgoTest.php; docs/evidencias/sonarqube/</t>
  </si>
  <si>
    <t>ML</t>
  </si>
  <si>
    <t>Microservicio Flask /predict funcional e integrado con Laravel. Observación QA corregida con evidencias de pruebas backend y análisis SonarQube.</t>
  </si>
  <si>
    <t>2026-06-24</t>
  </si>
  <si>
    <t>INT-001-BOLT-007</t>
  </si>
  <si>
    <t>Validar que los contenedores levanten correctamente</t>
  </si>
  <si>
    <t>docker-compose.yml (healthcheck en mysql, depends_on con condition)</t>
  </si>
  <si>
    <t>En proceso</t>
  </si>
  <si>
    <t>Media</t>
  </si>
  <si>
    <t>Medio</t>
  </si>
  <si>
    <t>Healthcheck MySQL configurado; falta prueba automatizada de levantamiento completo</t>
  </si>
  <si>
    <t>2026-04-25</t>
  </si>
  <si>
    <t>Pendiente</t>
  </si>
  <si>
    <t>INT-001-BOLT-008</t>
  </si>
  <si>
    <t>Documentar comandos básicos de instalación y ejecución</t>
  </si>
  <si>
    <t>Documentación</t>
  </si>
  <si>
    <t>README.md, docs/instalacion-docker.md, docs/manual-tecnico.md</t>
  </si>
  <si>
    <t>README con instrucciones de Docker Compose, manual técnico y de instalación</t>
  </si>
  <si>
    <t>2026-05-05</t>
  </si>
  <si>
    <t>INT-002 Autenticación, usuarios y roles</t>
  </si>
  <si>
    <t>INT-002-BOLT-001</t>
  </si>
  <si>
    <t>Implementar login de usuarios</t>
  </si>
  <si>
    <t>Autenticación</t>
  </si>
  <si>
    <t>backend/app/Http/Controllers/Auth/AuthenticatedSessionController.php, frontend/src/components/LoginForm.jsx</t>
  </si>
  <si>
    <t>backend/tests/Feature/Auth/AuthenticationTest.php</t>
  </si>
  <si>
    <t>Login funcional con Sanctum + formulario React</t>
  </si>
  <si>
    <t>INT-002-BOLT-002</t>
  </si>
  <si>
    <t>Configurar Laravel Sanctum para autenticación</t>
  </si>
  <si>
    <t>backend/composer.json (laravel/sanctum ^4.0), backend/config/sanctum.php, backend/database/migrations/2026_04_23_013824_create_personal_access_tokens_table.php</t>
  </si>
  <si>
    <t>Sanctum v4 instalado y configurado con migración de tokens</t>
  </si>
  <si>
    <t>INT-002-BOLT-003</t>
  </si>
  <si>
    <t>Crear roles del sistema</t>
  </si>
  <si>
    <t>backend/database/seeders/RolesSeeder.php, backend/database/seeders/PermissionsSeeder.php (roles: administrador, docente, coordinador_academico, psicologo_tutor, directivo)</t>
  </si>
  <si>
    <t>backend/tests/Feature/GestionUsuariosTest.php</t>
  </si>
  <si>
    <t>5 roles creados; falta rol 'secretaria_matricula' como rol independiente</t>
  </si>
  <si>
    <t>INT-002-BOLT-004</t>
  </si>
  <si>
    <t>Crear permisos del sistema</t>
  </si>
  <si>
    <t>backend/database/seeders/PermissionsSeeder.php (23 permisos: 8 legacy + 15 curriculares)</t>
  </si>
  <si>
    <t>23 permisos registrados incluyendo ver_dashboard, gestionar_estudiantes, procesar_riesgo, gestionar_malla_curricular, etc.</t>
  </si>
  <si>
    <t>INT-002-BOLT-005</t>
  </si>
  <si>
    <t>Asignar permisos por rol</t>
  </si>
  <si>
    <t>backend/database/seeders/PermissionsSeeder.php (rolePermissionMap con syncPermissions)</t>
  </si>
  <si>
    <t>Mapa de permisos por rol definido y sincronizado via Spatie</t>
  </si>
  <si>
    <t>INT-002-BOLT-006</t>
  </si>
  <si>
    <t>Restringir rutas según permisos</t>
  </si>
  <si>
    <t>backend/routes/api.php (middleware permission: en todas las rutas protegidas)</t>
  </si>
  <si>
    <t>backend/tests/Feature/GestionUsuariosTest.php, backend/tests/Feature/Curricular/CurricularApiTest.php</t>
  </si>
  <si>
    <t>Todas las rutas API protegidas con middleware auth:sanctum + permission</t>
  </si>
  <si>
    <t>INT-002-BOLT-007</t>
  </si>
  <si>
    <t>Crear endpoint GET /api/me para obtener usuario y permisos</t>
  </si>
  <si>
    <t>backend/routes/auth.php; frontend/src/context/AuthContext.jsx</t>
  </si>
  <si>
    <t>frontend/cypress/e2e/auth-login.cy.js; docs/evidencias/pruebas_frontend/</t>
  </si>
  <si>
    <t>Endpoint GET /api/me funcional; devuelve usuario, roles y permisos. Validado por integración frontend y pruebas Cypress con intercepts.</t>
  </si>
  <si>
    <t>INT-002-BOLT-008</t>
  </si>
  <si>
    <t>Validar acceso por rol en frontend</t>
  </si>
  <si>
    <t>frontend/src/context/AuthContext.jsx, frontend/src/App.jsx (verificación de permisos en rutas y componentes)</t>
  </si>
  <si>
    <t>AuthContext implementado; validación de permisos en componentes por hasPermission; falta cobertura completa</t>
  </si>
  <si>
    <t>2026-05-01</t>
  </si>
  <si>
    <t>INT-002-BOLT-009</t>
  </si>
  <si>
    <t>Probar bloqueo de accesos no autorizados</t>
  </si>
  <si>
    <t>Pruebas</t>
  </si>
  <si>
    <t>php artisan test --filter=GestionUsuariosTest</t>
  </si>
  <si>
    <t>Tests verifican bloqueo de rutas sin permisos adecuados</t>
  </si>
  <si>
    <t>2026-05-10</t>
  </si>
  <si>
    <t>INT-002-BOLT-010</t>
  </si>
  <si>
    <t>Implementar gestión CRUD de usuarios (crear, editar, activar/desactivar, restablecer contraseña)</t>
  </si>
  <si>
    <t>Usuarios</t>
  </si>
  <si>
    <t>backend/app/Http/Controllers/Api/UsuarioController.php, backend/app/Services/UsuarioGestionService.php, frontend/src/components/usuarios/UsuariosPanel.jsx</t>
  </si>
  <si>
    <t>CRUD completo de usuarios con activación/desactivación y restablecimiento de contraseña. Bolt adicional detectado en repo.</t>
  </si>
  <si>
    <t>2026-05-15</t>
  </si>
  <si>
    <t>INT-002-BOLT-011</t>
  </si>
  <si>
    <t>Implementar middleware de usuario activo</t>
  </si>
  <si>
    <t>backend/app/Http/Middleware/EnsureUsuarioActivo.php</t>
  </si>
  <si>
    <t>Seguridad</t>
  </si>
  <si>
    <t>Middleware que bloquea acceso de usuarios desactivados. Bolt adicional detectado en repo.</t>
  </si>
  <si>
    <t>2026-05-30</t>
  </si>
  <si>
    <t>INT-003 Gestión de estudiantes</t>
  </si>
  <si>
    <t>INT-003-BOLT-001</t>
  </si>
  <si>
    <t>Crear modelo y migración de estudiantes</t>
  </si>
  <si>
    <t>Estudiantes</t>
  </si>
  <si>
    <t>backend/app/Models/Estudiante.php, backend/database/migrations/2026_04_23_024107_create_estudiantes_table.php, backend/database/factories/EstudianteFactory.php</t>
  </si>
  <si>
    <t>backend/tests/Feature/EstudianteTest.php</t>
  </si>
  <si>
    <t>Base de datos</t>
  </si>
  <si>
    <t>Modelo con fillable: codigo, nombres, apellidos, fecha_nacimiento, sexo, grado, seccion, nivel, sede, anio_escolar, activo</t>
  </si>
  <si>
    <t>INT-003-BOLT-002</t>
  </si>
  <si>
    <t>Implementar listado de estudiantes</t>
  </si>
  <si>
    <t>backend/app/Http/Controllers/Api/EstudianteController.php (index), frontend/src/components/estudiantes/EstudiantesPanel.jsx</t>
  </si>
  <si>
    <t>Listado con filtros y paginación en API; panel React con búsqueda</t>
  </si>
  <si>
    <t>INT-003-BOLT-003</t>
  </si>
  <si>
    <t>Implementar registro de estudiante</t>
  </si>
  <si>
    <t>backend/app/Http/Controllers/Api/EstudianteController.php (store), backend/app/Http/Requests/StoreEstudianteRequest.php</t>
  </si>
  <si>
    <t>Endpoint POST /api/estudiantes con validación de request</t>
  </si>
  <si>
    <t>INT-003-BOLT-004</t>
  </si>
  <si>
    <t>Implementar edición de estudiante</t>
  </si>
  <si>
    <t>backend/app/Http/Controllers/Api/EstudianteController.php (update), backend/app/Http/Requests/UpdateEstudianteRequest.php</t>
  </si>
  <si>
    <t>Endpoint PUT/PATCH /api/estudiantes/{id} con validación</t>
  </si>
  <si>
    <t>INT-003-BOLT-005</t>
  </si>
  <si>
    <t>Implementar perfil académico del estudiante</t>
  </si>
  <si>
    <t>frontend/src/components/estudiantes/EstudiantePerfilDatos.jsx, frontend/src/components/estudiantes/EstudiantePerfilRiesgo.jsx, frontend/src/components/curricular/ResumenAcademicoEstudiante.jsx</t>
  </si>
  <si>
    <t>Perfil con datos personales, riesgo y resumen académico curricular; falta integrar ETA y reportes conductuales</t>
  </si>
  <si>
    <t>INT-003-BOLT-006</t>
  </si>
  <si>
    <t>Asociar estudiante con nivel, grado y sección</t>
  </si>
  <si>
    <t>backend/app/Models/Estudiante.php (campos nivel, grado, seccion), backend/database/migrations/2026_05_27_100000_add_inicial_to_estudiantes_nivel_enum.php</t>
  </si>
  <si>
    <t>backend/tests/Feature/EstudianteTest.php, backend/tests/Feature/EstudianteInicialTest.php</t>
  </si>
  <si>
    <t>Estudiante con nivel (inicial/primaria/secundaria), grado y sección; migración para agregar nivel Inicial</t>
  </si>
  <si>
    <t>2026-05-27</t>
  </si>
  <si>
    <t>INT-003-BOLT-007</t>
  </si>
  <si>
    <t>Asociar estudiante con apoderado o datos familiares</t>
  </si>
  <si>
    <t>No se encontró evidencia en el repositorio</t>
  </si>
  <si>
    <t>No existe modelo de apoderado independiente. Datos familiares parcialmente en VariableSocioeconomica (composicion_familiar)</t>
  </si>
  <si>
    <t>2026-07-15</t>
  </si>
  <si>
    <t>INT-003-BOLT-008</t>
  </si>
  <si>
    <t>Validar que el estudiante no se duplique</t>
  </si>
  <si>
    <t>backend/app/Http/Requests/StoreEstudianteRequest.php (validación unique en codigo)</t>
  </si>
  <si>
    <t>Validación unique en campo código de estudiante</t>
  </si>
  <si>
    <t>INT-003-BOLT-009</t>
  </si>
  <si>
    <t>Probar flujo de gestión de estudiantes</t>
  </si>
  <si>
    <t>php artisan test --filter=EstudianteTest</t>
  </si>
  <si>
    <t>Tests de CRUD de estudiantes y tests específicos para nivel Inicial</t>
  </si>
  <si>
    <t>INT-003-BOLT-010</t>
  </si>
  <si>
    <t>Gestionar secciones y aulas del sistema</t>
  </si>
  <si>
    <t>Estudiantes / Curricular</t>
  </si>
  <si>
    <t>backend/database/migrations/2026_05_31_100000_create_secciones_aulas_table.php, backend/app/Models/Curricular/SeccionAula.php, backend/app/Services/Curricular/SeccionAulaService.php, backend/app/Http/Controllers/Api/Curricular/SeccionAulaController.php, frontend/src/components/curricular/SeccionesAulasPanel.jsx</t>
  </si>
  <si>
    <t>backend/tests/Feature/Curricular/SeccionesAulasTest.php</t>
  </si>
  <si>
    <t>CRUD de secciones-aulas con API y panel frontend. Bolt adicional detectado en repo.</t>
  </si>
  <si>
    <t>2026-05-31</t>
  </si>
  <si>
    <t>INT-004 Configuración académica por nivel y grado</t>
  </si>
  <si>
    <t>INT-004-BOLT-001</t>
  </si>
  <si>
    <t>Crear estructura de niveles educativos</t>
  </si>
  <si>
    <t>Curricular</t>
  </si>
  <si>
    <t>backend/database/migrations/2026_05_23_120000_create_curricular_module_tables.php, backend/app/Models/Curricular/PlantillaCurricular.php, backend/app/Services/Curricular/CatalogoNivelGrado.php, backend/app/Models/Curricular/EquivalenciaGrado.php</t>
  </si>
  <si>
    <t>backend/tests/Feature/Curricular/CurricularApiTest.php</t>
  </si>
  <si>
    <t>Migración crea tablas: plantillas_curriculares, areas, competencias, capacidades, malla_curricular, malla_cursos, etc.</t>
  </si>
  <si>
    <t>2026-05-23</t>
  </si>
  <si>
    <t>INT-004-BOLT-002</t>
  </si>
  <si>
    <t>Registrar nivel Inicial, Primaria y Secundaria</t>
  </si>
  <si>
    <t>backend/database/seeders/Curricular/PlantillasInstitucionalesSeeder.php, backend/database/seeders/Curricular/EquivalenciasGradoSeeder.php</t>
  </si>
  <si>
    <t>backend/tests/Feature/Curricular/CurricularSeedersTest.php</t>
  </si>
  <si>
    <t>Seeders crean plantillas para Inicial, Primaria y Secundaria con equivalencias de grado</t>
  </si>
  <si>
    <t>INT-004-BOLT-003</t>
  </si>
  <si>
    <t>Registrar grados por nivel</t>
  </si>
  <si>
    <t>backend/database/seeders/Curricular/EquivalenciasGradoSeeder.php, backend/app/Services/Curricular/EquivalenciaGradoService.php, backend/database/migrations/2026_05_27_100001_add_inicial_to_equivalencias_grado_nivel_enum.php</t>
  </si>
  <si>
    <t>backend/tests/Unit/Curricular/EquivalenciaGradoServiceTest.php</t>
  </si>
  <si>
    <t>Equivalencias de grado por nivel incluyendo Inicial 3-5 años, Primaria 1°-6°, Secundaria 1°-5°</t>
  </si>
  <si>
    <t>INT-004-BOLT-004</t>
  </si>
  <si>
    <t>Registrar áreas académicas</t>
  </si>
  <si>
    <t>backend/app/Models/Curricular/Area.php, backend/database/seeders/Curricular/CurriculoNacionalBaseSeeder.php, backend/database/seeders/Curricular/CurriculoNacionalOficial.php</t>
  </si>
  <si>
    <t>Áreas registradas según Currículo Nacional con seeders base y oficial</t>
  </si>
  <si>
    <t>INT-004-BOLT-005</t>
  </si>
  <si>
    <t>Registrar cursos por nivel y grado</t>
  </si>
  <si>
    <t>backend/app/Models/Curricular/CursoCatalogo.php, backend/app/Models/Curricular/MallaCurso.php, backend/app/Models/Curricular/MallaCurricular.php, backend/database/seeders/Curricular/CatalogoInstitucionalBlenkir.php</t>
  </si>
  <si>
    <t>Catálogo institucional Blenkir con cursos por nivel; mallas curriculares por grado</t>
  </si>
  <si>
    <t>2026-05-24</t>
  </si>
  <si>
    <t>INT-004-BOLT-006</t>
  </si>
  <si>
    <t>Registrar competencias por curso</t>
  </si>
  <si>
    <t>backend/app/Models/Curricular/Competencia.php, backend/app/Services/Curricular/CompetenciaCapacidadService.php, backend/app/Http/Controllers/Api/Curricular/CompetenciaCapacidadController.php</t>
  </si>
  <si>
    <t>backend/tests/Feature/Curricular/CompetenciaCapacidadCrudTest.php</t>
  </si>
  <si>
    <t>CRUD de competencias asociadas a áreas con seeders del Currículo Nacional</t>
  </si>
  <si>
    <t>INT-004-BOLT-007</t>
  </si>
  <si>
    <t>Registrar capacidades por competencia</t>
  </si>
  <si>
    <t>backend/app/Models/Curricular/Capacidad.php, backend/app/Services/Curricular/CompetenciaCapacidadService.php</t>
  </si>
  <si>
    <t>CRUD de capacidades asociadas a competencias</t>
  </si>
  <si>
    <t>INT-004-BOLT-008</t>
  </si>
  <si>
    <t>Registrar temas por bimestre</t>
  </si>
  <si>
    <t>backend/app/Models/Curricular/TemaSemanal.php, backend/app/Services/Curricular/TemaSemanalService.php, backend/app/Http/Controllers/Api/Curricular/TemaSemanalController.php, frontend/src/components/curricular/TemasSemanalesPanel.jsx</t>
  </si>
  <si>
    <t>Temas semanales asociados a malla_curso, semana y bimestre con API y panel frontend</t>
  </si>
  <si>
    <t>INT-004-BOLT-009</t>
  </si>
  <si>
    <t>Registrar criterios de evaluación</t>
  </si>
  <si>
    <t>backend/database/seeders/Curricular/CriteriosEvaluacionInicialSeeder.php, backend/database/migrations/2026_05_24_100000_criterios_evaluacion_relajar_unique_temas.php</t>
  </si>
  <si>
    <t>backend/tests/Feature/Seeders/CriteriosEvaluacionInicialSeederTest.php</t>
  </si>
  <si>
    <t>Criterios de evaluación para Inicial con seeder y migración de ajuste de unicidad</t>
  </si>
  <si>
    <t>INT-004-BOLT-010</t>
  </si>
  <si>
    <t>Validar estructura Nivel → Grado → Área → Curso → Competencia → Capacidad → Tema → Bimestre</t>
  </si>
  <si>
    <t>backend/app/Services/Curricular/MallaCurricularService.php, backend/app/Services/Curricular/CatalogoCompetenciaCapacidadQuery.php</t>
  </si>
  <si>
    <t>Integración</t>
  </si>
  <si>
    <t>Estructura jerárquica completa validada con tests de API y servicios</t>
  </si>
  <si>
    <t>INT-004-BOLT-011</t>
  </si>
  <si>
    <t>Ajustar Inicial para que Arte y Cultura no sea curso independiente</t>
  </si>
  <si>
    <t>backend/database/seeders/Curricular/CurriculoNacionalOficial.php (Arte dentro de Comunicación como competencia 'Crea proyectos desde los lenguajes artísticos')</t>
  </si>
  <si>
    <t>Arte y Cultura integrado como competencia dentro de Comunicación para Inicial</t>
  </si>
  <si>
    <t>INT-004-BOLT-012</t>
  </si>
  <si>
    <t>Ajustar Inicial para que Religión no sea curso independiente</t>
  </si>
  <si>
    <t>backend/database/seeders/Curricular/CurriculoNacionalOficial.php (Religión dentro de Personal Social como competencia)</t>
  </si>
  <si>
    <t>Religión integrado como competencia dentro de Personal Social para Inicial</t>
  </si>
  <si>
    <t>INT-004-BOLT-013</t>
  </si>
  <si>
    <t>Ajustar Secundaria para que Cívica pertenezca a DPCC</t>
  </si>
  <si>
    <t>backend/database/seeders/Curricular/CurriculoNacionalOficial.php, backend/database/seeders/Curricular/CatalogoInstitucionalBlenkir.php</t>
  </si>
  <si>
    <t>Configuración en seeders; falta validar con tests específicos de Secundaria para DPCC 1°-2° y 3°-5°</t>
  </si>
  <si>
    <t>INT-004-BOLT-014</t>
  </si>
  <si>
    <t>Probar configuración académica con datos de Inicial, Primaria y Secundaria</t>
  </si>
  <si>
    <t>backend/tests/Feature/Curricular/CurricularApiTest.php (82KB de tests), backend/tests/Feature/Curricular/CurricularSeedersTest.php</t>
  </si>
  <si>
    <t>php artisan test --filter=CurricularApiTest</t>
  </si>
  <si>
    <t>Suite extensa de tests curriculares incluyendo seeders, API y validaciones</t>
  </si>
  <si>
    <t>INT-004-BOLT-015</t>
  </si>
  <si>
    <t>Configurar malla curricular por grado (cargar plantilla, CRUD cursos)</t>
  </si>
  <si>
    <t>backend/app/Http/Controllers/Api/Curricular/MallaCurricularController.php, backend/app/Services/Curricular/MallaCurricularService.php, frontend/src/components/curricular/MallaCurricularPanel.jsx</t>
  </si>
  <si>
    <t>Malla curricular con carga de plantilla, agregar/actualizar/desactivar/reactivar cursos. Bolt adicional detectado.</t>
  </si>
  <si>
    <t>INT-004-BOLT-016</t>
  </si>
  <si>
    <t>Gestionar competencias y capacidades con CRUD independiente</t>
  </si>
  <si>
    <t>backend/app/Http/Controllers/Api/Curricular/CompetenciaCapacidadController.php, frontend/src/components/curricular/CompetenciasCapacidadesPanel.jsx</t>
  </si>
  <si>
    <t>CRUD completo de competencias/capacidades con panel frontend. Bolt adicional detectado.</t>
  </si>
  <si>
    <t>INT-004-BOLT-017</t>
  </si>
  <si>
    <t>Gestionar calendario académico (años escolares, bimestres, semanas)</t>
  </si>
  <si>
    <t>backend/app/Models/Curricular/AnioEscolar.php, backend/app/Models/Curricular/PeriodoAcademico.php, backend/app/Models/Curricular/SemanaAcademica.php, backend/app/Services/Curricular/CalendarioAcademicoService.php, backend/app/Http/Controllers/Api/Curricular/AnioEscolarController.php</t>
  </si>
  <si>
    <t>backend/tests/Feature/Curricular/CalendarioAcademicoTest.php</t>
  </si>
  <si>
    <t>Años escolares, periodos (bimestres) y semanas académicas con API completa. Bolt adicional detectado.</t>
  </si>
  <si>
    <t>INT-004-BOLT-018</t>
  </si>
  <si>
    <t>Configurar componentes de calificación por nivel</t>
  </si>
  <si>
    <t>backend/app/Models/Curricular/ComponenteCalificacionNivel.php, backend/app/Services/Curricular/ComponenteCalificacionNivelService.php, backend/app/Http/Controllers/Api/Curricular/ComponenteCalificacionController.php, frontend/src/components/curricular/ComponentesCalificacionNivelPanel.jsx</t>
  </si>
  <si>
    <t>backend/tests/Feature/Curricular/ComponentesCalificacionNivelTest.php</t>
  </si>
  <si>
    <t>Componentes de calificación (Criterios, ETA, etc.) configurables por nivel. Bolt adicional detectado.</t>
  </si>
  <si>
    <t>INT-004-BOLT-019</t>
  </si>
  <si>
    <t>Configurar pesos de evaluación</t>
  </si>
  <si>
    <t>backend/app/Models/Curricular/ConfiguracionPesoEvaluacion.php, backend/app/Services/Curricular/PesoEvaluacionResolver.php, backend/app/Http/Controllers/Api/Curricular/ConfiguracionPesoEvaluacionController.php, frontend/src/components/curricular/PesosEvaluacionPanel.jsx</t>
  </si>
  <si>
    <t>backend/tests/Feature/Curricular/ConfiguracionPesoEvaluacionTest.php, backend/tests/Unit/Curricular/PesoEvaluacionResolverTest.php</t>
  </si>
  <si>
    <t>Pesos de evaluación configurables con resolver y tests unitarios. Bolt adicional detectado.</t>
  </si>
  <si>
    <t>INT-005 Registro de notas</t>
  </si>
  <si>
    <t>INT-005-BOLT-001</t>
  </si>
  <si>
    <t>Crear modelo de notas académicas</t>
  </si>
  <si>
    <t>Notas</t>
  </si>
  <si>
    <t>backend/app/Models/Nota.php, backend/database/migrations/2026_04_23_024131_create_notas_table.php, backend/app/Models/Curricular/NotaSemanal.php, backend/app/Models/Curricular/NotaSemanalComponente.php</t>
  </si>
  <si>
    <t>backend/tests/Feature/DatosAcademicosTest.php</t>
  </si>
  <si>
    <t>Modelo legacy Nota + modelo curricular NotaSemanal con componentes dinámicos</t>
  </si>
  <si>
    <t>INT-005-BOLT-002</t>
  </si>
  <si>
    <t>Registrar nota individual por estudiante</t>
  </si>
  <si>
    <t>backend/app/Http/Controllers/Api/NotaController.php (store), backend/app/Http/Requests/StoreNotaRequest.php</t>
  </si>
  <si>
    <t>Endpoint POST /api/estudiantes/{id}/notas para registro individual</t>
  </si>
  <si>
    <t>INT-005-BOLT-003</t>
  </si>
  <si>
    <t>Registrar notas por lote</t>
  </si>
  <si>
    <t>backend/app/Http/Controllers/Api/NotaBatchController.php (store), backend/app/Http/Requests/StoreNotaBatchRequest.php, backend/app/Services/Curricular/NotaSemanalBulkService.php, backend/app/Http/Controllers/Api/Curricular/NotaSemanalController.php (bulk)</t>
  </si>
  <si>
    <t>backend/tests/Feature/DatosAcademicosTest.php, backend/tests/Feature/Curricular/NotasSemanalesInicialTest.php</t>
  </si>
  <si>
    <t>Registro masivo con NotaBatchController (legacy) y NotaSemanalBulkService (curricular)</t>
  </si>
  <si>
    <t>INT-005-BOLT-004</t>
  </si>
  <si>
    <t>Asociar nota con nivel, grado, área, curso, competencia, capacidad, tema y bimestre</t>
  </si>
  <si>
    <t>backend/app/Models/Curricular/NotaSemanal.php (relaciones: malla_curso, tema_semanal, semana_academica), backend/app/Services/Curricular/NotaSemanalFormularioService.php</t>
  </si>
  <si>
    <t>backend/tests/Feature/Curricular/NotasSemanalesInicialTest.php</t>
  </si>
  <si>
    <t>NotaSemanal vinculada a tema_semanal (que tiene competencia, capacidad, malla_curso, semana)</t>
  </si>
  <si>
    <t>2026-05-26</t>
  </si>
  <si>
    <t>INT-005-BOLT-005</t>
  </si>
  <si>
    <t>Registrar nivel de logro AD, A, B o C</t>
  </si>
  <si>
    <t>backend/app/Models/Curricular/EvalBimEscalaLogro.php, backend/database/seeders/Curricular/EvalBimEscalaLogroSeeder.php, backend/app/Services/Curricular/EvaluacionBimestral/NivelLogroBimestralService.php</t>
  </si>
  <si>
    <t>backend/tests/Feature/Curricular/EvaluacionBimestralTest.php</t>
  </si>
  <si>
    <t>Escala AD/A/B/C registrada en eval_bim_escala_logros con seeder; servicio de cálculo de nivel de logro bimestral</t>
  </si>
  <si>
    <t>INT-005-BOLT-006</t>
  </si>
  <si>
    <t>Registrar criterio de evaluación</t>
  </si>
  <si>
    <t>backend/app/Services/Curricular/CeCalculatorService.php, backend/app/Services/Curricular/CeComponentesDinamicosService.php</t>
  </si>
  <si>
    <t>backend/tests/Unit/Curricular/CeCalculatorServiceTest.php, backend/tests/Unit/Curricular/CeComponentesDinamicosServiceTest.php</t>
  </si>
  <si>
    <t>Conclusión descriptiva y criterios de evaluación con calculadoras y tests unitarios</t>
  </si>
  <si>
    <t>INT-005-BOLT-007</t>
  </si>
  <si>
    <t>Registrar conclusión descriptiva</t>
  </si>
  <si>
    <t>backend/app/Services/Curricular/CeCalculatorService.php</t>
  </si>
  <si>
    <t>backend/tests/Unit/Curricular/CeCalculatorServiceTest.php</t>
  </si>
  <si>
    <t>CE (Conclusión Evaluativa) calculada a partir de componentes dinámicos</t>
  </si>
  <si>
    <t>INT-005-BOLT-008</t>
  </si>
  <si>
    <t>Calcular promedio o consolidado por curso</t>
  </si>
  <si>
    <t>backend/app/Services/Curricular/ResumenAcademicoService.php, backend/app/Http/Controllers/Api/Curricular/ResumenAcademicoController.php, frontend/src/components/curricular/ResumenAcademicoEstudiante.jsx</t>
  </si>
  <si>
    <t>backend/tests/Feature/Curricular/ResumenAcademicoTest.php</t>
  </si>
  <si>
    <t>Resumen académico por estudiante con consolidado de notas por curso</t>
  </si>
  <si>
    <t>INT-005-BOLT-009</t>
  </si>
  <si>
    <t>Calcular consolidado por competencia</t>
  </si>
  <si>
    <t>backend/app/Services/Curricular/EvaluacionBimestral/NivelLogroBimestralService.php, backend/app/Services/Curricular/EvaluacionBimestral/PromedioCriteriosService.php</t>
  </si>
  <si>
    <t>Consolidado bimestral por competencia con promedio de criterios y nivel de logro</t>
  </si>
  <si>
    <t>INT-005-BOLT-010</t>
  </si>
  <si>
    <t>Validar que no existan notas duplicadas</t>
  </si>
  <si>
    <t>backend/app/Services/Curricular/NotaSemanalBulkService.php (upsert logic)</t>
  </si>
  <si>
    <t>Lógica upsert evita duplicación en notas semanales; validación explícita parcial</t>
  </si>
  <si>
    <t>INT-005-BOLT-011</t>
  </si>
  <si>
    <t>Bloquear eliminación de notas sin permiso</t>
  </si>
  <si>
    <t>backend/routes/api.php (middleware permission:registrar_notas_semanales)</t>
  </si>
  <si>
    <t>Rutas protegidas por permisos; falta endpoint explícito de eliminación con bloqueo</t>
  </si>
  <si>
    <t>2026-07-01</t>
  </si>
  <si>
    <t>INT-005-BOLT-012</t>
  </si>
  <si>
    <t>Registrar auditoría de cambios en notas</t>
  </si>
  <si>
    <t>backend/tests/Feature/ActivityLogTest.php (verifica auditoría de notas)</t>
  </si>
  <si>
    <t>backend/tests/Feature/ActivityLogTest.php</t>
  </si>
  <si>
    <t>Auditoría de notas parcialmente implementada; verificada en tests de activity log</t>
  </si>
  <si>
    <t>INT-005-BOLT-013</t>
  </si>
  <si>
    <t>Probar registro de notas con estructura del Colegio Blenkir</t>
  </si>
  <si>
    <t>backend/tests/Feature/DatosAcademicosTest.php, backend/tests/Feature/Curricular/NotasSemanalesInicialTest.php, backend/tests/Feature/Curricular/NotasSemanalesComponentesDinamicosTest.php</t>
  </si>
  <si>
    <t>php artisan test --filter=NotasSemanales</t>
  </si>
  <si>
    <t>Tests de notas semanales para Inicial con componentes dinámicos</t>
  </si>
  <si>
    <t>INT-005-BOLT-014</t>
  </si>
  <si>
    <t>Implementar formulario de registro de notas semanales en frontend</t>
  </si>
  <si>
    <t>frontend/src/components/curricular/RegistroNotasSemanalesPanel.jsx</t>
  </si>
  <si>
    <t>frontend/cypress/e2e/notas_registro.cy.js; evidencia_notas_registro_pass.png</t>
  </si>
  <si>
    <t>Formulario de notas semanales implementado en frontend. Validado mediante prueba Cypress y evidencia en docs/evidencias/pruebas_frontend.</t>
  </si>
  <si>
    <t>INT-005-BOLT-015</t>
  </si>
  <si>
    <t>Implementar evaluación bimestral (configuración, cálculo, formulario, bulk)</t>
  </si>
  <si>
    <t>Notas / Curricular</t>
  </si>
  <si>
    <t>backend/app/Http/Controllers/Api/Curricular/EvaluacionBimestralController.php (19KB), backend/app/Services/Curricular/EvaluacionBimestral/ (14 servicios), frontend/src/components/curricular/notas/bimestral/</t>
  </si>
  <si>
    <t>backend/tests/Feature/Curricular/EvaluacionBimestralApiTest.php, backend/tests/Feature/Curricular/EvaluacionBimestralTest.php, backend/tests/Feature/Curricular/ConfiguracionBimestralGradoTest.php, backend/tests/Feature/Curricular/ConfiguracionBimestralDefaultsTest.php</t>
  </si>
  <si>
    <t>Evaluación bimestral completa: configuración por grado, componentes, ETAs, cálculo de nivel de logro, bulk. Bolt adicional detectado.</t>
  </si>
  <si>
    <t>INT-005-BOLT-016</t>
  </si>
  <si>
    <t>Implementar asignación docente-curso-aula</t>
  </si>
  <si>
    <t>backend/app/Models/Curricular/DocenteCursoAula.php, backend/app/Services/Curricular/AsignacionDocenteBulkService.php, backend/app/Http/Controllers/Api/Curricular/AsignacionDocenteController.php, frontend/src/components/curricular/AsignacionDocentePanel.jsx</t>
  </si>
  <si>
    <t>backend/tests/Feature/Curricular/AsignacionDocenteValidacionesTest.php</t>
  </si>
  <si>
    <t>Asignación docente a cursos y aulas con validaciones y bulk. Bolt adicional detectado.</t>
  </si>
  <si>
    <t>INT-006 Importación de plantillas Excel</t>
  </si>
  <si>
    <t>INT-006-BOLT-001</t>
  </si>
  <si>
    <t>Instalar y configurar Laravel Excel</t>
  </si>
  <si>
    <t>Importación</t>
  </si>
  <si>
    <t>backend/composer.json (maatwebsite/excel ^3.1)</t>
  </si>
  <si>
    <t>maatwebsite/excel v3.1 instalado en composer.json</t>
  </si>
  <si>
    <t>INT-006-BOLT-002</t>
  </si>
  <si>
    <t>Diseñar plantilla base de importación</t>
  </si>
  <si>
    <t>backend/app/Services/Curricular/PlantillaRegistroAuxiliarExcelService.php (42KB), backend/app/Services/Curricular/PlantillaRegistroAuxiliarLayout.php, backend/app/Services/Curricular/PlantillaExcelAulaLayout.php</t>
  </si>
  <si>
    <t>backend/tests/Feature/Curricular/PlantillaRegistroAuxiliarExcelTest.php (53KB)</t>
  </si>
  <si>
    <t>Plantilla Excel de registro auxiliar con layout profesional; servicio de generación de 42KB</t>
  </si>
  <si>
    <t>INT-006-BOLT-003</t>
  </si>
  <si>
    <t>Importar estudiantes desde Excel</t>
  </si>
  <si>
    <t>No existe importador de estudiantes desde Excel; funcionalidad pendiente</t>
  </si>
  <si>
    <t>INT-006-BOLT-004</t>
  </si>
  <si>
    <t>Importar notas desde Excel</t>
  </si>
  <si>
    <t>backend/app/Services/Curricular/ImportPlantillaRegistroAuxiliarService.php (29KB), backend/app/Http/Controllers/Api/Curricular/NotaSemanalController.php (importarExcel)</t>
  </si>
  <si>
    <t>backend/tests/Feature/Curricular/PlantillaRegistroAuxiliarExcelTest.php</t>
  </si>
  <si>
    <t>Importación de notas desde plantilla Excel con servicio de 29KB y endpoint POST /curricular/notas-semanales/importar-excel</t>
  </si>
  <si>
    <t>INT-006-BOLT-005</t>
  </si>
  <si>
    <t>Importar cursos, competencias, capacidades y temas</t>
  </si>
  <si>
    <t>backend/database/seeders/DemoCurricularOperativoSeeder.php; APIs curriculares</t>
  </si>
  <si>
    <t>Decisión técnica documentada en README.md y docs/limitaciones.md</t>
  </si>
  <si>
    <t>Observado</t>
  </si>
  <si>
    <t>Observado documentado: cursos, competencias, capacidades y temas se cargan mediante seeders y API, no por importación Excel directa. Decisión técnica V1.</t>
  </si>
  <si>
    <t>INT-006-BOLT-006</t>
  </si>
  <si>
    <t>Validar columnas obligatorias</t>
  </si>
  <si>
    <t>backend/app/Services/Curricular/ImportPlantillaRegistroAuxiliarService.php (validaciones internas)</t>
  </si>
  <si>
    <t>Validación de estructura de plantilla implementada dentro del importador</t>
  </si>
  <si>
    <t>INT-006-BOLT-007</t>
  </si>
  <si>
    <t>Detectar filas con errores</t>
  </si>
  <si>
    <t>backend/app/Services/Curricular/ImportPlantillaRegistroAuxiliarService.php</t>
  </si>
  <si>
    <t>Detección de errores en importación parcialmente implementada</t>
  </si>
  <si>
    <t>INT-006-BOLT-008</t>
  </si>
  <si>
    <t>Mostrar resumen de importación</t>
  </si>
  <si>
    <t>No se encontró componente frontend para mostrar resumen de importación al usuario</t>
  </si>
  <si>
    <t>INT-006-BOLT-009</t>
  </si>
  <si>
    <t>Evitar importación duplicada</t>
  </si>
  <si>
    <t>backend/app/Services/Curricular/ImportPlantillaRegistroAuxiliarService.php (upsert logic)</t>
  </si>
  <si>
    <t>Lógica upsert previene duplicación en importación de notas</t>
  </si>
  <si>
    <t>INT-006-BOLT-010</t>
  </si>
  <si>
    <t>Registrar log de importación</t>
  </si>
  <si>
    <t>Baja</t>
  </si>
  <si>
    <t>No se encontró registro de log específico de importación</t>
  </si>
  <si>
    <t>INT-006-BOLT-011</t>
  </si>
  <si>
    <t>Probar importación con plantilla de Inicial</t>
  </si>
  <si>
    <t>php artisan test --filter=PlantillaRegistroAuxiliarExcelTest</t>
  </si>
  <si>
    <t>Tests extensos (53KB) para plantilla de registro auxiliar</t>
  </si>
  <si>
    <t>INT-006-BOLT-012</t>
  </si>
  <si>
    <t>Probar importación con plantilla de Primaria</t>
  </si>
  <si>
    <t>backend/tests/Feature/Curricular/ExcelAulaTest.php; flujo Excel por aula</t>
  </si>
  <si>
    <t>ExcelAulaTest.php; frontend/cypress/e2e/excel_import_export.cy.js</t>
  </si>
  <si>
    <t>Importación/exportación Excel validada por pruebas backend y Cypress. Evidencia registrada en pruebas_backend y pruebas_frontend.</t>
  </si>
  <si>
    <t>INT-006-BOLT-013</t>
  </si>
  <si>
    <t>Probar importación con plantilla de Secundaria</t>
  </si>
  <si>
    <t>Flujo de plantillas curriculares validado mediante pruebas backend y Cypress; cubierto por suite de importación/exportación Excel.</t>
  </si>
  <si>
    <t>INT-006-BOLT-014</t>
  </si>
  <si>
    <t>Generar Excel por aula para descarga</t>
  </si>
  <si>
    <t>backend/app/Services/Curricular/PlantillaRegistroAuxiliarAulaService.php, backend/app/Services/Curricular/PlantillaRegistroAuxiliarAulaExcelService.php, frontend/src/components/curricular/ExcelPorAulaPanel.jsx</t>
  </si>
  <si>
    <t>backend/tests/Feature/Curricular/ExcelAulaTest.php</t>
  </si>
  <si>
    <t>Reportes</t>
  </si>
  <si>
    <t>Generación de plantilla Excel por aula con descarga y panel frontend. Bolt adicional detectado.</t>
  </si>
  <si>
    <t>INT-007 Registro de asistencia</t>
  </si>
  <si>
    <t>INT-007-BOLT-001</t>
  </si>
  <si>
    <t>Crear modelo de asistencia</t>
  </si>
  <si>
    <t>Asistencia</t>
  </si>
  <si>
    <t>backend/app/Models/Asistencia.php (legacy), backend/app/Models/Curricular/AsistenciaDiaria.php, backend/database/migrations/2026_04_23_024152_create_asistencias_table.php, backend/database/migrations/2026_05_27_100000_create_asistencias_diarias_table.php</t>
  </si>
  <si>
    <t>backend/tests/Feature/DatosAcademicosTest.php, backend/tests/Feature/Curricular/AsistenciaDiariaTest.php</t>
  </si>
  <si>
    <t>Modelo legacy Asistencia + modelo curricular AsistenciaDiaria con migración propia</t>
  </si>
  <si>
    <t>INT-007-BOLT-002</t>
  </si>
  <si>
    <t>Registrar asistencia diaria</t>
  </si>
  <si>
    <t>backend/app/Http/Controllers/Api/Curricular/AsistenciaDiariaController.php, backend/app/Services/Curricular/AsistenciaDiariaBulkService.php</t>
  </si>
  <si>
    <t>backend/tests/Feature/Curricular/AsistenciaDiariaTest.php</t>
  </si>
  <si>
    <t>Registro diario con bulk vía POST /curricular/asistencias-diarias/bulk</t>
  </si>
  <si>
    <t>INT-007-BOLT-003</t>
  </si>
  <si>
    <t>Registrar falta justificada</t>
  </si>
  <si>
    <t>backend/app/Models/Curricular/AsistenciaDiaria.php (campo estado con valores: A, F, T, J)</t>
  </si>
  <si>
    <t>Estado 'J' para falta justificada en modelo AsistenciaDiaria</t>
  </si>
  <si>
    <t>INT-007-BOLT-004</t>
  </si>
  <si>
    <t>Registrar falta injustificada</t>
  </si>
  <si>
    <t>backend/app/Models/Curricular/AsistenciaDiaria.php (estado 'F')</t>
  </si>
  <si>
    <t>Estado 'F' para falta injustificada</t>
  </si>
  <si>
    <t>INT-007-BOLT-005</t>
  </si>
  <si>
    <t>Registrar tardanza</t>
  </si>
  <si>
    <t>backend/app/Models/Curricular/AsistenciaDiaria.php (estado 'T')</t>
  </si>
  <si>
    <t>Estado 'T' para tardanza</t>
  </si>
  <si>
    <t>INT-007-BOLT-006</t>
  </si>
  <si>
    <t>Asociar asistencia con estudiante, aula y fecha</t>
  </si>
  <si>
    <t>backend/app/Models/Curricular/AsistenciaDiaria.php (fillable: estudiante_id, seccion_aula_id, fecha, estado)</t>
  </si>
  <si>
    <t>AsistenciaDiaria asociada a estudiante, sección-aula y fecha</t>
  </si>
  <si>
    <t>INT-007-BOLT-007</t>
  </si>
  <si>
    <t>Crear resumen bimestral de asistencia</t>
  </si>
  <si>
    <t>backend/app/Services/Curricular/AsistenciaDiariaResumenService.php, frontend/src/components/estudiantes/ResumenAsistenciaCurricular.jsx</t>
  </si>
  <si>
    <t>Servicio de resumen implementado; componente frontend de resumen de asistencia por estudiante</t>
  </si>
  <si>
    <t>INT-007-BOLT-008</t>
  </si>
  <si>
    <t>Generar alerta por inasistencia frecuente</t>
  </si>
  <si>
    <t>backend/app/Services/RiesgoAcademicoService.php; Alerta::crearPorRiesgoAltoSiAplica</t>
  </si>
  <si>
    <t>backend/tests/Feature/RiesgoTest.php; backend/tests/Feature/AlertaIntervencionTest.php</t>
  </si>
  <si>
    <t>La asistencia forma parte del cálculo de riesgo académico; si supera umbral de riesgo, se genera alerta automática. Resuelto dentro del flujo de riesgo.</t>
  </si>
  <si>
    <t>INT-007-BOLT-009</t>
  </si>
  <si>
    <t>Permitir registro por auxiliar o tutor</t>
  </si>
  <si>
    <t>backend/app/Services/Curricular/AsistenciaDiariaAuthService.php, backend/routes/api.php (permission:registrar_asistencia_curricular)</t>
  </si>
  <si>
    <t>Servicio de autorización para registro de asistencia; permisos por rol configurados</t>
  </si>
  <si>
    <t>INT-007-BOLT-010</t>
  </si>
  <si>
    <t>Probar flujo de asistencia por aula</t>
  </si>
  <si>
    <t>backend/tests/Feature/Curricular/AsistenciaDiariaTest.php (16KB)</t>
  </si>
  <si>
    <t>php artisan test --filter=AsistenciaDiariaTest</t>
  </si>
  <si>
    <t>Tests de asistencia diaria con bulk, formulario y resumen</t>
  </si>
  <si>
    <t>INT-007-BOLT-011</t>
  </si>
  <si>
    <t>Implementar panel frontend de asistencia curricular</t>
  </si>
  <si>
    <t>frontend/src/components/curricular/AsistenciaCurricularPanel.jsx</t>
  </si>
  <si>
    <t>frontend/cypress/e2e/asistencia_registro.cy.js; evidencia_asistencia_registro_pass.png</t>
  </si>
  <si>
    <t>Panel frontend de asistencia curricular implementado y validado mediante prueba Cypress.</t>
  </si>
  <si>
    <t>INT-008 ETA / Fast Test</t>
  </si>
  <si>
    <t>INT-008-BOLT-001</t>
  </si>
  <si>
    <t>Crear estructura para resultados ETA o Fast Test</t>
  </si>
  <si>
    <t>ETA / Fast Test</t>
  </si>
  <si>
    <t>backend/app/Models/Curricular/EvalBimEtaItem.php, backend/app/Models/Curricular/EvalBimNotaEta.php, backend/database/migrations/2026_05_26_100000_create_eval_bimestral_tables.php</t>
  </si>
  <si>
    <t>ETA integrado en evaluación bimestral como componentes tipo ETA con ítems y notas</t>
  </si>
  <si>
    <t>INT-008-BOLT-002</t>
  </si>
  <si>
    <t>Registrar resultado ETA por estudiante</t>
  </si>
  <si>
    <t>backend/app/Http/Controllers/Api/Curricular/EvaluacionBimestralController.php (storeEta, bulk con notas ETA)</t>
  </si>
  <si>
    <t>backend/tests/Feature/Curricular/EvaluacionBimestralApiTest.php</t>
  </si>
  <si>
    <t>Registro de notas ETA por estudiante vía endpoint de evaluación bimestral</t>
  </si>
  <si>
    <t>INT-008-BOLT-003</t>
  </si>
  <si>
    <t>Asociar ETA con curso, área o competencia</t>
  </si>
  <si>
    <t>backend/app/Models/Curricular/EvalBimComponente.php (relación con malla_curso), backend/app/Services/Curricular/EvaluacionBimestral/EvaluacionComponentesResolver.php</t>
  </si>
  <si>
    <t>ETA asociado a componente de evaluación bimestral vinculado a malla_curso</t>
  </si>
  <si>
    <t>INT-008-BOLT-004</t>
  </si>
  <si>
    <t>Registrar resultado por bimestre</t>
  </si>
  <si>
    <t>backend/app/Models/Curricular/EvalBimResultado.php (relación con periodo_academico/bimestre)</t>
  </si>
  <si>
    <t>Resultados ETA vinculados a periodo académico (bimestre)</t>
  </si>
  <si>
    <t>INT-008-BOLT-005</t>
  </si>
  <si>
    <t>Importar resultados ETA desde archivo</t>
  </si>
  <si>
    <t>No existe importador de ETA desde archivo; funcionalidad pendiente</t>
  </si>
  <si>
    <t>INT-008-BOLT-006</t>
  </si>
  <si>
    <t>Incorporar ETA como variable del riesgo académico</t>
  </si>
  <si>
    <t>ml-service/main.py (fast_test_puntaje como variable del cálculo de riesgo)</t>
  </si>
  <si>
    <t>backend/tests/Feature/RiesgoTest.php</t>
  </si>
  <si>
    <t>fast_test_puntaje incorporado en cálculo determinístico del microservicio Flask con peso 0.06</t>
  </si>
  <si>
    <t>INT-008-BOLT-007</t>
  </si>
  <si>
    <t>Mostrar ETA en perfil del estudiante</t>
  </si>
  <si>
    <t>No se encontró componente frontend específico para mostrar ETA en perfil del estudiante</t>
  </si>
  <si>
    <t>INT-008-BOLT-008</t>
  </si>
  <si>
    <t>Probar cálculo de riesgo considerando ETA</t>
  </si>
  <si>
    <t>backend/tests/Feature/RiesgoTest.php, backend/tests/Feature/Curricular/EvaluacionBimestralTest.php</t>
  </si>
  <si>
    <t>php artisan test --filter=RiesgoTest</t>
  </si>
  <si>
    <t>Tests de riesgo verifican inclusión de fast_test en el cálculo</t>
  </si>
  <si>
    <t>INT-008-BOLT-009</t>
  </si>
  <si>
    <t>Calcular participación ETA por aula</t>
  </si>
  <si>
    <t>backend/app/Services/Curricular/EvaluacionBimestral/EtaParticipacionPorAulaService.php, backend/app/Services/Curricular/EvaluacionBimestral/PromedioEtaService.php</t>
  </si>
  <si>
    <t>Servicios de participación y promedio ETA por aula. Bolt adicional detectado.</t>
  </si>
  <si>
    <t>INT-009 Reportes conductuales y tutoría</t>
  </si>
  <si>
    <t>INT-009-BOLT-001</t>
  </si>
  <si>
    <t>Crear modelo de reporte conductual</t>
  </si>
  <si>
    <t>Reportes conductuales</t>
  </si>
  <si>
    <t>backend/app/Models/ReporteConductual.php; migración asociada</t>
  </si>
  <si>
    <t>backend PHPUnit PASS; docs/evidencias/sonarqube/</t>
  </si>
  <si>
    <t>Modelo de reporte conductual implementado con estructura y relaciones correspondientes. Observación QA corregida con evidencias técnicas.</t>
  </si>
  <si>
    <t>INT-009-BOLT-002</t>
  </si>
  <si>
    <t>Registrar observación conductual</t>
  </si>
  <si>
    <t>backend/app/Http/Controllers/Api/ReporteConductualController.php (store)</t>
  </si>
  <si>
    <t>backend PHPUnit PASS (559 tests); docs/evidencias/pruebas_backend/</t>
  </si>
  <si>
    <t>Registro de observaciones conductuales implementado mediante controller y método store().</t>
  </si>
  <si>
    <t>INT-009-BOLT-003</t>
  </si>
  <si>
    <t>Clasificar reporte por tipo</t>
  </si>
  <si>
    <t>backend/app/Models/ReporteConductual.php (campo tipo_conducta)</t>
  </si>
  <si>
    <t>Campo tipo_conducta en modelo; falta catálogo de tipos y validación</t>
  </si>
  <si>
    <t>INT-009-BOLT-004</t>
  </si>
  <si>
    <t>Asociar reporte con estudiante y responsable</t>
  </si>
  <si>
    <t>backend/app/Models/ReporteConductual.php (relación estudiante BelongsTo, registrado_por fillable)</t>
  </si>
  <si>
    <t>Relación con estudiante implementada; falta relación BelongsTo con User para registrado_por</t>
  </si>
  <si>
    <t>INT-009-BOLT-005</t>
  </si>
  <si>
    <t>Mostrar reportes en perfil del estudiante</t>
  </si>
  <si>
    <t>backend/app/Models/Estudiante.php (relación reportesConductuales HasMany)</t>
  </si>
  <si>
    <t>Relación en modelo Estudiante existe; falta componente frontend para mostrar reportes</t>
  </si>
  <si>
    <t>INT-009-BOLT-006</t>
  </si>
  <si>
    <t>Incorporar reportes conductuales al análisis de riesgo</t>
  </si>
  <si>
    <t>ml-service/main.py (reportes_conductuales como variable con peso 0.14)</t>
  </si>
  <si>
    <t>reportes_conductuales incorporado en cálculo de riesgo del microservicio Flask</t>
  </si>
  <si>
    <t>INT-009-BOLT-007</t>
  </si>
  <si>
    <t>Probar registro de reporte por docente</t>
  </si>
  <si>
    <t>ReporteConductualController.php; endpoints de reportes conductuales</t>
  </si>
  <si>
    <t>backend PHPUnit PASS; docs/evidencias/pruebas_backend/</t>
  </si>
  <si>
    <t>Registro de reporte conductual cubierto por pruebas backend aprobadas. Evidencia consolidada en suite PHPUnit.</t>
  </si>
  <si>
    <t>INT-009-BOLT-008</t>
  </si>
  <si>
    <t>Probar consulta de reportes por tutor o psicólogo</t>
  </si>
  <si>
    <t>backend/app/Http/Controllers/Api/PsicologoTutorSeguimientoController.php</t>
  </si>
  <si>
    <t>Consulta de reportes por tutor/psicólogo implementada en backend mediante controlador de seguimiento.</t>
  </si>
  <si>
    <t>INT-010 Variables socioeconómicas y datos familiares</t>
  </si>
  <si>
    <t>INT-010-BOLT-001</t>
  </si>
  <si>
    <t>Crear modelo de variables socioeconómicas</t>
  </si>
  <si>
    <t>Variables socioeconómicas</t>
  </si>
  <si>
    <t>backend/app/Models/VariableSocioeconomica.php, backend/database/migrations/2026_04_23_024319_create_variables_socioeconomicas_table.php</t>
  </si>
  <si>
    <t>Modelo con fillable: estudiante_id, composicion_familiar, nivel_socioeconomico, acceso_internet, distancia_colegio_km, anio_escolar</t>
  </si>
  <si>
    <t>INT-010-BOLT-002</t>
  </si>
  <si>
    <t>Registrar datos familiares del estudiante</t>
  </si>
  <si>
    <t>backend/app/Http/Controllers/Api/VariableSocioeconomicaController.php, backend/app/Http/Requests/StoreVariableSocioeconomicaRequest.php</t>
  </si>
  <si>
    <t>Controller y request existen; campo composicion_familiar permite registrar datos familiares básicos</t>
  </si>
  <si>
    <t>INT-010-BOLT-003</t>
  </si>
  <si>
    <t>Registrar información del apoderado</t>
  </si>
  <si>
    <t>No se encontró modelo de apoderado en el repositorio</t>
  </si>
  <si>
    <t>No existe modelo Apoderado independiente; datos familiares parciales en VariableSocioeconomica</t>
  </si>
  <si>
    <t>INT-010-BOLT-004</t>
  </si>
  <si>
    <t>Registrar condición de acompañamiento familiar</t>
  </si>
  <si>
    <t>backend/app/Models/VariableSocioeconomica.php (campo composicion_familiar)</t>
  </si>
  <si>
    <t>Campo composicion_familiar disponible; falta catálogo de condiciones y UI</t>
  </si>
  <si>
    <t>INT-010-BOLT-005</t>
  </si>
  <si>
    <t>Registrar situación familiar relevante</t>
  </si>
  <si>
    <t>No existe campo o modelo específico para situaciones familiares relevantes</t>
  </si>
  <si>
    <t>INT-010-BOLT-006</t>
  </si>
  <si>
    <t>Asociar variables con el estudiante</t>
  </si>
  <si>
    <t>backend/app/Models/Estudiante.php (relación variablesSocioeconomicas HasMany), backend/routes/api.php (GET/POST /estudiantes/{id}/variables-socioeconomicas)</t>
  </si>
  <si>
    <t>Relación Estudiante-&gt;VariablesSocioeconomicas con endpoints API funcionando</t>
  </si>
  <si>
    <t>INT-010-BOLT-007</t>
  </si>
  <si>
    <t>Proteger información sensible</t>
  </si>
  <si>
    <t>backend/routes/api.php (middleware permission:registrar_datos_academicos)</t>
  </si>
  <si>
    <t>Acceso protegido por permisos; falta encriptación de datos sensibles y política de acceso granular</t>
  </si>
  <si>
    <t>INT-010-BOLT-008</t>
  </si>
  <si>
    <t>Incorporar variables socioeconómicas al cálculo de riesgo</t>
  </si>
  <si>
    <t>ml-service/main.py (nivel_socioeconomico peso 0.14, acceso_internet penalty 0.12, distancia_colegio peso 0.09), backend/app/Http/Controllers/Api/ProcesarRiesgoController.php</t>
  </si>
  <si>
    <t>Variables socioeconómicas (nivel, internet, distancia) incorporadas en el cálculo de riesgo del ML</t>
  </si>
  <si>
    <t>INT-010-BOLT-009</t>
  </si>
  <si>
    <t>Probar validación de datos familiares</t>
  </si>
  <si>
    <t>php artisan test --filter=DatosAcademicosTest</t>
  </si>
  <si>
    <t>Tests básicos de datos académicos incluyen variables socioeconómicas; falta tests específicos</t>
  </si>
  <si>
    <t>INT-011 Procesamiento del riesgo académico</t>
  </si>
  <si>
    <t>INT-011-BOLT-001</t>
  </si>
  <si>
    <t>Crear servicio de validación de datos mínimos</t>
  </si>
  <si>
    <t>Riesgo académico</t>
  </si>
  <si>
    <t>backend/app/Services/RiesgoAcademicoService.php (10KB)</t>
  </si>
  <si>
    <t>RiesgoAcademicoService con validación de datos mínimos y armado de payload</t>
  </si>
  <si>
    <t>INT-011-BOLT-002</t>
  </si>
  <si>
    <t>Validar existencia de notas</t>
  </si>
  <si>
    <t>backend/app/Services/RiesgoAcademicoService.php</t>
  </si>
  <si>
    <t>Validación de existencia de notas para cálculo de promedio</t>
  </si>
  <si>
    <t>INT-011-BOLT-003</t>
  </si>
  <si>
    <t>Validar existencia de asistencia</t>
  </si>
  <si>
    <t>Validación de porcentaje de asistencia</t>
  </si>
  <si>
    <t>INT-011-BOLT-004</t>
  </si>
  <si>
    <t>Validar existencia de variables socioeconómicas</t>
  </si>
  <si>
    <t>Validación de variables socioeconómicas (nivel, internet, distancia)</t>
  </si>
  <si>
    <t>INT-011-BOLT-005</t>
  </si>
  <si>
    <t>Crear payload de estudiante para análisis de riesgo</t>
  </si>
  <si>
    <t>backend/app/Http/Controllers/Api/ProcesarRiesgoController.php, backend/app/Services/RiesgoAcademicoService.php</t>
  </si>
  <si>
    <t>Payload con promedio_notas, porcentaje_asistencia, reportes_conductuales, fast_test_puntaje, nivel_socioeconomico, acceso_internet, distancia_colegio</t>
  </si>
  <si>
    <t>INT-011-BOLT-006</t>
  </si>
  <si>
    <t>Conectar Laravel con microservicio Flask</t>
  </si>
  <si>
    <t>backend/app/Services/MlRiskService.php, backend/config/services.php (ml.url)</t>
  </si>
  <si>
    <t>MlRiskService con HTTP client, timeout 15s, manejo de ConnectionException</t>
  </si>
  <si>
    <t>INT-011-BOLT-007</t>
  </si>
  <si>
    <t>Procesar índice de riesgo entre 0 y 1</t>
  </si>
  <si>
    <t>ml-service/main.py (indice redondeado a 4 decimales, clamped 0..1)</t>
  </si>
  <si>
    <t>Índice calculado con max(0.0, min(1.0, indice)) y redondeado a 4 decimales</t>
  </si>
  <si>
    <t>INT-011-BOLT-008</t>
  </si>
  <si>
    <t>Clasificar riesgo bajo, medio o alto</t>
  </si>
  <si>
    <t>ml-service/main.py (bajo &lt;0.40, medio 0.40-0.70, alto &gt;=0.70)</t>
  </si>
  <si>
    <t>Umbrales: bajo &lt;0.40, medio &gt;=0.40 y &lt;0.70, alto &gt;=0.70</t>
  </si>
  <si>
    <t>INT-011-BOLT-009</t>
  </si>
  <si>
    <t>Registrar índice de riesgo en base de datos</t>
  </si>
  <si>
    <t>backend/app/Models/IndiceRiesgo.php, backend/database/migrations/2026_04_23_024405_create_indices_riesgo_table.php, backend/app/Http/Controllers/Api/ProcesarRiesgoController.php</t>
  </si>
  <si>
    <t>IndiceRiesgo guardado en tabla indices_riesgo con estudiante_id, indice, nivel, variables_utilizadas</t>
  </si>
  <si>
    <t>INT-011-BOLT-010</t>
  </si>
  <si>
    <t>Probar procesamiento con estudiante de riesgo bajo</t>
  </si>
  <si>
    <t>Test verifica clasificación de riesgo bajo</t>
  </si>
  <si>
    <t>INT-011-BOLT-011</t>
  </si>
  <si>
    <t>Probar procesamiento con estudiante de riesgo medio</t>
  </si>
  <si>
    <t>Test verifica clasificación de riesgo medio</t>
  </si>
  <si>
    <t>INT-011-BOLT-012</t>
  </si>
  <si>
    <t>Probar procesamiento con estudiante de riesgo alto</t>
  </si>
  <si>
    <t>Test verifica clasificación de riesgo alto</t>
  </si>
  <si>
    <t>INT-011-BOLT-013</t>
  </si>
  <si>
    <t>Manejar error si Flask no responde</t>
  </si>
  <si>
    <t>backend/app/Services/MlRiskService.php (catch ConnectionException, Log::warning, RuntimeException)</t>
  </si>
  <si>
    <t>Manejo de errores: ConnectionException, respuesta no exitosa, respuesta sin indice_riesgo</t>
  </si>
  <si>
    <t>INT-011-BOLT-014</t>
  </si>
  <si>
    <t>Registrar auditoría del procesamiento</t>
  </si>
  <si>
    <t>backend/app/Http/Controllers/Api/ProcesarRiesgoController.php, backend/tests/Feature/ActivityLogTest.php</t>
  </si>
  <si>
    <t>Auditoría de procesamiento de riesgo via Spatie Activitylog verificada en tests</t>
  </si>
  <si>
    <t>INT-011-BOLT-015</t>
  </si>
  <si>
    <t>Implementar comando demo de procesamiento masivo de riesgos</t>
  </si>
  <si>
    <t>backend/routes/commands/demo_procesar_riesgos.php</t>
  </si>
  <si>
    <t>backend/tests/Feature/DemoProcesarRiesgosCommandTest.php</t>
  </si>
  <si>
    <t>Comando artisan para procesamiento masivo de riesgos en demo. Bolt adicional detectado.</t>
  </si>
  <si>
    <t>INT-012 Microservicio de Machine Learning</t>
  </si>
  <si>
    <t>INT-012-BOLT-001</t>
  </si>
  <si>
    <t>Crear estructura Flask del microservicio</t>
  </si>
  <si>
    <t>ml-service/main.py, ml-service/Dockerfile, ml-service/requirements.txt</t>
  </si>
  <si>
    <t>Flask app con estructura mínima funcional</t>
  </si>
  <si>
    <t>INT-012-BOLT-002</t>
  </si>
  <si>
    <t>Crear endpoint de predicción</t>
  </si>
  <si>
    <t>ml-service/main.py (POST /predict)</t>
  </si>
  <si>
    <t>backend/tests/Feature/RiesgoTest.php (integración)</t>
  </si>
  <si>
    <t>Endpoint /predict recibe JSON y devuelve indice_riesgo + nivel_riesgo</t>
  </si>
  <si>
    <t>INT-012-BOLT-003</t>
  </si>
  <si>
    <t>Recibir payload desde Laravel</t>
  </si>
  <si>
    <t>ml-service/main.py (request.get_json), backend/app/Services/MlRiskService.php (Http::post)</t>
  </si>
  <si>
    <t>Comunicación Laravel-&gt;Flask vía HTTP JSON establecida</t>
  </si>
  <si>
    <t>INT-012-BOLT-004</t>
  </si>
  <si>
    <t>Normalizar variables de entrada</t>
  </si>
  <si>
    <t>ml-service/main.py (_float, _int, normalización y ponderación)</t>
  </si>
  <si>
    <t>Normalización de variables implementada en ml-service, incluyendo saneamiento, conversión, acotación y ponderación de entradas.</t>
  </si>
  <si>
    <t>INT-012-BOLT-005</t>
  </si>
  <si>
    <t>Calcular índice de riesgo</t>
  </si>
  <si>
    <t>ml-service/main.py (pesos: notas 0.28, asistencia 0.24, reportes 0.14, socioeconomico 0.14, distancia 0.09, fast_test 0.06, internet penalty 0.12)</t>
  </si>
  <si>
    <t>Cálculo determinístico con pesos ponderados sumando a 1.0 (más penalización internet)</t>
  </si>
  <si>
    <t>INT-012-BOLT-006</t>
  </si>
  <si>
    <t>Devolver respuesta JSON a Laravel</t>
  </si>
  <si>
    <t>ml-service/main.py (jsonify indice_riesgo + nivel_riesgo)</t>
  </si>
  <si>
    <t>Respuesta JSON con indice_riesgo (float) y nivel_riesgo (bajo/medio/alto)</t>
  </si>
  <si>
    <t>INT-012-BOLT-007</t>
  </si>
  <si>
    <t>Manejar errores de datos incompletos</t>
  </si>
  <si>
    <t>ml-service/main.py (_float con defaults, get_json silent=True)</t>
  </si>
  <si>
    <t>Defaults para datos faltantes; falta validación explícita de campos obligatorios</t>
  </si>
  <si>
    <t>INT-012-BOLT-008</t>
  </si>
  <si>
    <t>Preparar estructura para modelos Random Forest, SVM o XGBoost</t>
  </si>
  <si>
    <t>README.md; docs/limitaciones.md; ml-service/main.py</t>
  </si>
  <si>
    <t>Limitación técnica documentada para V1</t>
  </si>
  <si>
    <t>Observado documentado: en V1 se implementó modelo determinístico de riesgo. Random Forest, SVM o XGBoost quedan como mejora futura fuera del alcance del prototipo académico.</t>
  </si>
  <si>
    <t>2026-08-01</t>
  </si>
  <si>
    <t>INT-012-BOLT-009</t>
  </si>
  <si>
    <t>Documentar limitación del prototipo ML</t>
  </si>
  <si>
    <t>docs/ml-service.md, docs/limitaciones.md</t>
  </si>
  <si>
    <t>Documentación de limitaciones del prototipo ML y servicio Flask</t>
  </si>
  <si>
    <t>INT-012-BOLT-010</t>
  </si>
  <si>
    <t>Probar microservicio con datos sintéticos</t>
  </si>
  <si>
    <t>backend/tests/Feature/RiesgoTest.php (datos sintéticos via mock/HTTP)</t>
  </si>
  <si>
    <t>Tests con datos sintéticos verificando la integración Laravel-Flask</t>
  </si>
  <si>
    <t>INT-013 Alertas tempranas</t>
  </si>
  <si>
    <t>INT-013-BOLT-001</t>
  </si>
  <si>
    <t>Crear modelo de alerta</t>
  </si>
  <si>
    <t>Alertas</t>
  </si>
  <si>
    <t>backend/app/Models/Alerta.php, backend/database/migrations/2026_04_23_024427_create_alertas_table.php</t>
  </si>
  <si>
    <t>backend/tests/Feature/AlertaIntervencionTest.php</t>
  </si>
  <si>
    <t>Modelo con estados, factores_influyentes, recomendacion, cierre; migración con campos completos</t>
  </si>
  <si>
    <t>INT-013-BOLT-002</t>
  </si>
  <si>
    <t>Generar alerta cuando riesgo sea alto</t>
  </si>
  <si>
    <t>backend/app/Models/Alerta.php (crearPorRiesgoAltoSiAplica: crea alerta solo si nivel=Alto)</t>
  </si>
  <si>
    <t>Método estático que crea alerta automática cuando índice de riesgo es Alto</t>
  </si>
  <si>
    <t>INT-013-BOLT-003</t>
  </si>
  <si>
    <t>Evitar duplicidad de alerta activa por estudiante</t>
  </si>
  <si>
    <t>backend/app/Models/Alerta.php (existeActivaParaEstudiante: verifica estados pendiente/en_atencion)</t>
  </si>
  <si>
    <t>Método existeActivaParaEstudiante evita duplicación de alertas activas</t>
  </si>
  <si>
    <t>INT-013-BOLT-004</t>
  </si>
  <si>
    <t>Mostrar listado de alertas</t>
  </si>
  <si>
    <t>backend/app/Http/Controllers/Api/AlertaController.php (index, show), frontend/src/components/alertas/AlertasPanel.jsx (19KB)</t>
  </si>
  <si>
    <t>API GET /alertas con panel frontend completo para listado</t>
  </si>
  <si>
    <t>INT-013-BOLT-005</t>
  </si>
  <si>
    <t>Filtrar alertas por estado</t>
  </si>
  <si>
    <t>frontend/src/components/alertas/AlertasPanel.jsx (filtros de estado)</t>
  </si>
  <si>
    <t>Filtros de estado implementados en panel frontend; falta filtro en API backend</t>
  </si>
  <si>
    <t>INT-013-BOLT-006</t>
  </si>
  <si>
    <t>Filtrar alertas por nivel de riesgo</t>
  </si>
  <si>
    <t>No se encontró filtro explícito por nivel de riesgo en el endpoint de alertas</t>
  </si>
  <si>
    <t>INT-013-BOLT-007</t>
  </si>
  <si>
    <t>Asociar alerta con índice de riesgo</t>
  </si>
  <si>
    <t>backend/app/Models/Alerta.php (relación indiceRiesgo BelongsTo, campo indice_riesgo_id)</t>
  </si>
  <si>
    <t>Alerta vinculada a IndiceRiesgo vía foreign key</t>
  </si>
  <si>
    <t>INT-013-BOLT-008</t>
  </si>
  <si>
    <t>Registrar fecha y responsable</t>
  </si>
  <si>
    <t>backend/app/Models/Alerta.php (campos cerrada_por, fecha_cierre, timestamps)</t>
  </si>
  <si>
    <t>Timestamps automáticos + campos de cierre con responsable</t>
  </si>
  <si>
    <t>INT-013-BOLT-009</t>
  </si>
  <si>
    <t>Probar generación automática de alerta</t>
  </si>
  <si>
    <t>php artisan test --filter=AlertaIntervencionTest</t>
  </si>
  <si>
    <t>Tests verifican generación automática de alerta por riesgo alto</t>
  </si>
  <si>
    <t>INT-013-BOLT-010</t>
  </si>
  <si>
    <t>Probar alerta no duplicada</t>
  </si>
  <si>
    <t>Tests verifican que no se crean alertas duplicadas activas</t>
  </si>
  <si>
    <t>INT-014 Intervenciones y seguimiento</t>
  </si>
  <si>
    <t>INT-014-BOLT-001</t>
  </si>
  <si>
    <t>Crear modelo de intervención</t>
  </si>
  <si>
    <t>Intervenciones</t>
  </si>
  <si>
    <t>backend/app/Models/Intervencion.php, backend/database/migrations/2026_04_23_024457_create_intervenciones_table.php</t>
  </si>
  <si>
    <t>Modelo con fillable: alerta_id, estudiante_id, registrado_por, tipo, descripcion, fecha</t>
  </si>
  <si>
    <t>INT-014-BOLT-002</t>
  </si>
  <si>
    <t>Registrar intervención sobre alerta</t>
  </si>
  <si>
    <t>backend/app/Http/Controllers/Api/IntervencionController.php (store), backend/app/Http/Requests/StoreIntervencionRequest.php</t>
  </si>
  <si>
    <t>Endpoint POST /alertas/{id}/intervenciones con validación</t>
  </si>
  <si>
    <t>INT-014-BOLT-003</t>
  </si>
  <si>
    <t>Registrar tipo de intervención</t>
  </si>
  <si>
    <t>backend/app/Models/Intervencion.php (campo tipo fillable)</t>
  </si>
  <si>
    <t>Campo tipo disponible; falta catálogo cerrado de tipos de intervención</t>
  </si>
  <si>
    <t>INT-014-BOLT-004</t>
  </si>
  <si>
    <t>Registrar responsable de intervención</t>
  </si>
  <si>
    <t>backend/app/Models/Intervencion.php (relación registradoPor BelongsTo User)</t>
  </si>
  <si>
    <t>Relación registradoPor con User para responsable de intervención</t>
  </si>
  <si>
    <t>INT-014-BOLT-005</t>
  </si>
  <si>
    <t>Registrar descripción y resultado</t>
  </si>
  <si>
    <t>backend/app/Models/Intervencion.php (campo descripcion fillable)</t>
  </si>
  <si>
    <t>Campo descripcion existe; falta campo resultado explícito</t>
  </si>
  <si>
    <t>INT-014-BOLT-006</t>
  </si>
  <si>
    <t>Asociar intervención con estudiante y alerta</t>
  </si>
  <si>
    <t>backend/app/Models/Intervencion.php (relaciones alerta BelongsTo y estudiante BelongsTo)</t>
  </si>
  <si>
    <t>Relaciones con Alerta y Estudiante implementadas</t>
  </si>
  <si>
    <t>INT-014-BOLT-007</t>
  </si>
  <si>
    <t>Consultar historial de intervenciones</t>
  </si>
  <si>
    <t>backend/app/Models/Alerta.php (relación intervenciones HasMany), frontend/src/components/alertas/AlertasPanel.jsx</t>
  </si>
  <si>
    <t>Alerta tiene relación HasMany con intervenciones; panel frontend muestra historial</t>
  </si>
  <si>
    <t>INT-014-BOLT-008</t>
  </si>
  <si>
    <t>Validar que una alerta no pueda cerrarse sin intervención</t>
  </si>
  <si>
    <t>backend/app/Http/Controllers/Api/AlertaCierreController.php, backend/app/Http/Requests/CerrarAlertaRequest.php</t>
  </si>
  <si>
    <t>AlertaCierreController con validación de intervención previa al cierre</t>
  </si>
  <si>
    <t>INT-014-BOLT-009</t>
  </si>
  <si>
    <t>Cerrar alerta con evidencia</t>
  </si>
  <si>
    <t>backend/app/Http/Controllers/Api/AlertaCierreController.php (store), backend/app/Models/Alerta.php (campos resultado_cierre, cerrada_por, fecha_cierre)</t>
  </si>
  <si>
    <t>Cierre de alerta con resultado, responsable y fecha de cierre</t>
  </si>
  <si>
    <t>INT-014-BOLT-010</t>
  </si>
  <si>
    <t>Probar flujo alerta → intervención → cierre</t>
  </si>
  <si>
    <t>backend/tests/Feature/AlertaIntervencionTest.php (14KB de tests)</t>
  </si>
  <si>
    <t>Tests completos del flujo alerta-intervención-cierre</t>
  </si>
  <si>
    <t>INT-015 Dashboard y reportes</t>
  </si>
  <si>
    <t>INT-015-BOLT-001</t>
  </si>
  <si>
    <t>Crear DashboardController</t>
  </si>
  <si>
    <t>Dashboard</t>
  </si>
  <si>
    <t>backend/app/Http/Controllers/Api/DashboardController.php (295 líneas, 10KB)</t>
  </si>
  <si>
    <t>backend/tests/Feature/DashboardTest.php (11KB)</t>
  </si>
  <si>
    <t>DashboardController con index(), export() y lógica de filtros</t>
  </si>
  <si>
    <t>INT-015-BOLT-002</t>
  </si>
  <si>
    <t>Mostrar total de estudiantes</t>
  </si>
  <si>
    <t>backend/app/Http/Controllers/Api/DashboardController.php (total_estudiantes en respuesta JSON)</t>
  </si>
  <si>
    <t>backend/tests/Feature/DashboardTest.php</t>
  </si>
  <si>
    <t>Campo total_estudiantes en respuesta del dashboard</t>
  </si>
  <si>
    <t>INT-015-BOLT-003</t>
  </si>
  <si>
    <t>Mostrar estudiantes por nivel de riesgo</t>
  </si>
  <si>
    <t>backend/app/Http/Controllers/Api/DashboardController.php (riesgos_por_nivel, porcentajes_riesgo)</t>
  </si>
  <si>
    <t>Desglose alto/medio/bajo con porcentajes</t>
  </si>
  <si>
    <t>INT-015-BOLT-004</t>
  </si>
  <si>
    <t>Mostrar alertas activas</t>
  </si>
  <si>
    <t>backend/app/Http/Controllers/Api/DashboardController.php (alertas_por_estado: pendiente, en_atencion)</t>
  </si>
  <si>
    <t>Alertas agrupadas por estado con conteo y porcentajes</t>
  </si>
  <si>
    <t>INT-015-BOLT-005</t>
  </si>
  <si>
    <t>Mostrar alertas cerradas</t>
  </si>
  <si>
    <t>backend/app/Http/Controllers/Api/DashboardController.php (alertas_por_estado: cerrada)</t>
  </si>
  <si>
    <t>Estado cerrada incluido en conteo de alertas</t>
  </si>
  <si>
    <t>INT-015-BOLT-006</t>
  </si>
  <si>
    <t>Mostrar estudiantes con datos incompletos</t>
  </si>
  <si>
    <t>No se encontró indicador de datos incompletos en el dashboard</t>
  </si>
  <si>
    <t>INT-015-BOLT-007</t>
  </si>
  <si>
    <t>Mostrar estudiantes con inasistencia frecuente</t>
  </si>
  <si>
    <t>No se encontró indicador de inasistencia frecuente en el dashboard</t>
  </si>
  <si>
    <t>INT-015-BOLT-008</t>
  </si>
  <si>
    <t>Mostrar estudiantes en riesgo por aula</t>
  </si>
  <si>
    <t>Filtros por grado/sección existen; falta vista específica por aula</t>
  </si>
  <si>
    <t>INT-015-BOLT-009</t>
  </si>
  <si>
    <t>Mostrar reportes por nivel y grado</t>
  </si>
  <si>
    <t>backend/app/Http/Controllers/Api/DashboardController.php (filtros nivel, grado), backend/app/Http/Requests/DashboardQueryRequest.php</t>
  </si>
  <si>
    <t>Filtros por nivel y grado implementados; falta consolidar como reporte</t>
  </si>
  <si>
    <t>INT-015-BOLT-010</t>
  </si>
  <si>
    <t>Exportar dashboard en PDF</t>
  </si>
  <si>
    <t>backend/app/Http/Controllers/Api/DashboardController.php (export con DomPDF), backend/resources/views/pdf/</t>
  </si>
  <si>
    <t>Exportación PDF via DomPDF con vista Blade en pdf/dashboard</t>
  </si>
  <si>
    <t>INT-015-BOLT-011</t>
  </si>
  <si>
    <t>Probar carga del dashboard</t>
  </si>
  <si>
    <t>php artisan test --filter=DashboardTest</t>
  </si>
  <si>
    <t>Tests de dashboard con 11KB de cobertura</t>
  </si>
  <si>
    <t>INT-015-BOLT-012</t>
  </si>
  <si>
    <t>Probar exportación PDF</t>
  </si>
  <si>
    <t>Test de exportación PDF incluido en DashboardTest</t>
  </si>
  <si>
    <t>INT-015-BOLT-013</t>
  </si>
  <si>
    <t>Implementar panel de dashboard en frontend</t>
  </si>
  <si>
    <t>frontend/src/components/dashboard/DashboardInstitucionalPanel.jsx</t>
  </si>
  <si>
    <t>frontend/cypress/e2e/dashboard_filtros_graficos.cy.js; evidencia_dashboard_filtros_graficos_pass.png</t>
  </si>
  <si>
    <t>Dashboard frontend implementado y validado mediante prueba Cypress dashboard_filtros_graficos.cy.js.</t>
  </si>
  <si>
    <t>INT-015-BOLT-014</t>
  </si>
  <si>
    <t>Calcular indicadores curriculares del dashboard</t>
  </si>
  <si>
    <t>backend/app/Services/Curricular/DashboardCurricularIndicadoresService.php</t>
  </si>
  <si>
    <t>Indicadores: total_estudiantes_activos, registros_asistencia_diaria, resultados_bimestrales, cursos_malla_activos, asignaciones_docente_activas. Bolt adicional detectado.</t>
  </si>
  <si>
    <t>INT-016 Auditoría y trazabilidad</t>
  </si>
  <si>
    <t>INT-016-BOLT-001</t>
  </si>
  <si>
    <t>Configurar Spatie Activitylog</t>
  </si>
  <si>
    <t>Auditoría</t>
  </si>
  <si>
    <t>backend/composer.json (spatie/laravel-activitylog ^4.9), backend/database/migrations/2026_04_23_023847_create_activity_log_table.php, backend/database/migrations/2026_04_23_023848_add_event_column.php, backend/database/migrations/2026_04_23_023849_add_batch_uuid_column.php</t>
  </si>
  <si>
    <t>Spatie Activitylog v4.9 instalado con 3 migraciones</t>
  </si>
  <si>
    <t>INT-016-BOLT-002</t>
  </si>
  <si>
    <t>Auditar creación de estudiante</t>
  </si>
  <si>
    <t>backend/tests/Feature/ActivityLogTest.php (verifica log de creación)</t>
  </si>
  <si>
    <t>Activity log registra creación de estudiante</t>
  </si>
  <si>
    <t>INT-016-BOLT-003</t>
  </si>
  <si>
    <t>Auditar registro de notas</t>
  </si>
  <si>
    <t>Activity log registra creación de notas</t>
  </si>
  <si>
    <t>INT-016-BOLT-004</t>
  </si>
  <si>
    <t>Auditar modificación de notas</t>
  </si>
  <si>
    <t>Falta auditar modificaciones (updates) de notas explícitamente</t>
  </si>
  <si>
    <t>INT-016-BOLT-005</t>
  </si>
  <si>
    <t>Auditar procesamiento de riesgo</t>
  </si>
  <si>
    <t>Procesamiento de riesgo auditado y verificado en tests</t>
  </si>
  <si>
    <t>INT-016-BOLT-006</t>
  </si>
  <si>
    <t>Auditar generación de alerta</t>
  </si>
  <si>
    <t>Generación de alerta parcialmente auditada; verificar cobertura completa</t>
  </si>
  <si>
    <t>INT-016-BOLT-007</t>
  </si>
  <si>
    <t>Auditar registro de intervención</t>
  </si>
  <si>
    <t>Registro de intervención auditado parcialmente</t>
  </si>
  <si>
    <t>INT-016-BOLT-008</t>
  </si>
  <si>
    <t>Auditar cierre de alerta</t>
  </si>
  <si>
    <t>Cierre de alerta auditado parcialmente; verificar que se registre resultado y responsable</t>
  </si>
  <si>
    <t>INT-016-BOLT-009</t>
  </si>
  <si>
    <t>Crear vista o reporte de auditoría</t>
  </si>
  <si>
    <t>No existe componente frontend ni endpoint para consultar logs de auditoría</t>
  </si>
  <si>
    <t>INT-016-BOLT-010</t>
  </si>
  <si>
    <t>Probar trazabilidad completa</t>
  </si>
  <si>
    <t>backend/tests/Feature/ActivityLogTest.php (11KB)</t>
  </si>
  <si>
    <t>php artisan test --filter=ActivityLogTest</t>
  </si>
  <si>
    <t>Tests de auditoría con 11KB de cobertura</t>
  </si>
  <si>
    <t>INT-017 Seguridad y calidad</t>
  </si>
  <si>
    <t>INT-017-BOLT-001</t>
  </si>
  <si>
    <t>Validar protección CSRF</t>
  </si>
  <si>
    <t>backend/config/cors.php, backend/routes/api.php (middleware sanctum)</t>
  </si>
  <si>
    <t>API usa Sanctum tokens (no CSRF cookies); CORS configurado</t>
  </si>
  <si>
    <t>INT-017-BOLT-002</t>
  </si>
  <si>
    <t>Validar control de acceso por rol</t>
  </si>
  <si>
    <t>backend/database/seeders/PermissionsSeeder.php, backend/routes/api.php (middleware permission:), docs/seguridad-roles-permisos.md, docs/arquitectura/matriz-control-accesos-sprint8.md</t>
  </si>
  <si>
    <t>Control de acceso por rol implementado con Spatie Permission y documentado</t>
  </si>
  <si>
    <t>INT-017-BOLT-003</t>
  </si>
  <si>
    <t>Validar bloqueo de rutas no autorizadas</t>
  </si>
  <si>
    <t>backend/routes/api.php (todas las rutas con auth:sanctum + permission)</t>
  </si>
  <si>
    <t>Rutas API protegidas; tests verifican rechazo 403 sin permisos</t>
  </si>
  <si>
    <t>INT-017-BOLT-004</t>
  </si>
  <si>
    <t>Revisar protección contra inyección SQL usando Eloquent</t>
  </si>
  <si>
    <t>Uso de Eloquent ORM en todos los modelos y controladores</t>
  </si>
  <si>
    <t>Eloquent protege contra inyección SQL por defecto; falta revisión formal</t>
  </si>
  <si>
    <t>2026-06-01</t>
  </si>
  <si>
    <t>INT-017-BOLT-005</t>
  </si>
  <si>
    <t>Revisar protección contra XSS</t>
  </si>
  <si>
    <t>Frontend React escapa HTML por defecto; DomPDF con vista Blade</t>
  </si>
  <si>
    <t>React previene XSS por defecto; falta revisión de inputs en backend</t>
  </si>
  <si>
    <t>INT-017-BOLT-006</t>
  </si>
  <si>
    <t>Configurar throttle de login</t>
  </si>
  <si>
    <t>backend/routes/auth.php (posible throttle via Laravel Breeze)</t>
  </si>
  <si>
    <t>Laravel Breeze incluye throttle por defecto; falta verificar configuración específica</t>
  </si>
  <si>
    <t>INT-017-BOLT-007</t>
  </si>
  <si>
    <t>Revisar que no existan credenciales hardcodeadas</t>
  </si>
  <si>
    <t>.env.example; sonar-project.properties; docker-compose.yml; .gitignore</t>
  </si>
  <si>
    <t>SonarQube Quality Gate Passed; token por variable de entorno; revisión de archivos versionados</t>
  </si>
  <si>
    <t>No se identificaron credenciales sensibles versionadas. Valores de docker-compose.yml corresponden a entorno local/demo y el token SonarQube se usa por variable de entorno.</t>
  </si>
  <si>
    <t>INT-017-BOLT-008</t>
  </si>
  <si>
    <t>Ejecutar pruebas de seguridad básicas</t>
  </si>
  <si>
    <t>Alto</t>
  </si>
  <si>
    <t>No se encontraron pruebas de seguridad específicas (penetration test, OWASP)</t>
  </si>
  <si>
    <t>INT-017-BOLT-009</t>
  </si>
  <si>
    <t>Documentar hallazgos de seguridad</t>
  </si>
  <si>
    <t>docs/seguridad-roles-permisos.md, docs/calidad/matriz-seguridad-iso-27000.md</t>
  </si>
  <si>
    <t>Documentación de seguridad y roles parcial; matriz ISO 27000 creada</t>
  </si>
  <si>
    <t>INT-017-BOLT-010</t>
  </si>
  <si>
    <t>Corregir vulnerabilidades detectadas</t>
  </si>
  <si>
    <t>Depende de ejecución de pruebas de seguridad; no se encontraron correcciones explícitas</t>
  </si>
  <si>
    <t>INT-018 Pruebas automáticas</t>
  </si>
  <si>
    <t>INT-018-BOLT-001</t>
  </si>
  <si>
    <t>Crear pruebas unitarias para validación de datos mínimos</t>
  </si>
  <si>
    <t>Tests de validación de datos para procesamiento de riesgo</t>
  </si>
  <si>
    <t>INT-018-BOLT-002</t>
  </si>
  <si>
    <t>Crear pruebas unitarias para cálculo de riesgo</t>
  </si>
  <si>
    <t>backend/tests/Feature/RiesgoTest.php (10KB)</t>
  </si>
  <si>
    <t>Tests de cálculo de riesgo con estudiantes de nivel bajo, medio y alto</t>
  </si>
  <si>
    <t>INT-018-BOLT-003</t>
  </si>
  <si>
    <t>Crear pruebas para generación de alertas</t>
  </si>
  <si>
    <t>Tests de generación automática de alertas por riesgo alto</t>
  </si>
  <si>
    <t>INT-018-BOLT-004</t>
  </si>
  <si>
    <t>Crear pruebas para registro de intervenciones</t>
  </si>
  <si>
    <t>Tests de registro de intervenciones sobre alertas</t>
  </si>
  <si>
    <t>INT-018-BOLT-005</t>
  </si>
  <si>
    <t>Crear pruebas para cierre de alertas</t>
  </si>
  <si>
    <t>Tests de cierre de alerta con intervención previa requerida</t>
  </si>
  <si>
    <t>INT-018-BOLT-006</t>
  </si>
  <si>
    <t>Crear pruebas de integración Laravel-Flask</t>
  </si>
  <si>
    <t>backend/tests/Feature/RiesgoTest.php (integración con mock o servicio real)</t>
  </si>
  <si>
    <t>Tests de integración Laravel-Flask para procesamiento de riesgo</t>
  </si>
  <si>
    <t>INT-018-BOLT-007</t>
  </si>
  <si>
    <t>Crear pruebas de dashboard</t>
  </si>
  <si>
    <t>Tests de dashboard con filtros, exportación PDF e indicadores</t>
  </si>
  <si>
    <t>INT-018-BOLT-008</t>
  </si>
  <si>
    <t>Crear pruebas de permisos por rol</t>
  </si>
  <si>
    <t>backend/tests/Feature/GestionUsuariosTest.php (8KB), backend/tests/Feature/Curricular/CurricularApiTest.php</t>
  </si>
  <si>
    <t>Tests de permisos verificando acceso y rechazo por rol</t>
  </si>
  <si>
    <t>INT-018-BOLT-009</t>
  </si>
  <si>
    <t>Ejecutar php artisan test</t>
  </si>
  <si>
    <t>backend/phpunit.xml, backend/composer.json (script test)</t>
  </si>
  <si>
    <t>php artisan test</t>
  </si>
  <si>
    <t>PHPUnit configurado con phpunit.xml; ejecución completa pendiente de resultado actual</t>
  </si>
  <si>
    <t>INT-018-BOLT-010</t>
  </si>
  <si>
    <t>Ejecutar Laravel Dusk para pruebas funcionales</t>
  </si>
  <si>
    <t>No se encontró laravel/dusk en composer.json</t>
  </si>
  <si>
    <t>Laravel Dusk no está instalado en el proyecto; falta agregar dependencia y configurar</t>
  </si>
  <si>
    <t>INT-018-BOLT-011</t>
  </si>
  <si>
    <t>Documentar resultados de pruebas</t>
  </si>
  <si>
    <t>docs/pruebas/informe-pruebas.md, docs/pruebas/Plan_de_Pruebas_SIDERAE_Blenkir.md, docs/pruebas/Fichas_Pruebas_Automatizadas_SIDERAE_Blenkir.md, docs/pruebas/Fichas_Pruebas_Manuales_SIDERAE_Blenkir.md</t>
  </si>
  <si>
    <t>Documentación extensa de pruebas: plan, fichas automatizadas, fichas manuales, informe</t>
  </si>
  <si>
    <t>INT-018-BOLT-012</t>
  </si>
  <si>
    <t>Crear suite de pruebas curriculares (malla, notas semanales, evaluación bimestral, asistencia)</t>
  </si>
  <si>
    <t>backend/tests/Feature/Curricular/ (21 archivos de test), backend/tests/Unit/Curricular/ (4 archivos + subdirectorio), backend/tests/Feature/Seeders/ (4 archivos)</t>
  </si>
  <si>
    <t>php artisan test --filter=Curricular</t>
  </si>
  <si>
    <t>Suite extensa de tests curriculares con 25+ archivos cubriendo todos los módulos. Bolt adicional detectado.</t>
  </si>
  <si>
    <t>INT-019 Documentación académica y propiedad intelectual</t>
  </si>
  <si>
    <t>INT-019-BOLT-001</t>
  </si>
  <si>
    <t>Elaborar ficha técnica del software</t>
  </si>
  <si>
    <t>docs/manual-tecnico.md</t>
  </si>
  <si>
    <t>Manual técnico con arquitectura, tecnologías y endpoints; falta ficha técnica formal INDECOPI</t>
  </si>
  <si>
    <t>2026-06-15</t>
  </si>
  <si>
    <t>INT-019-BOLT-002</t>
  </si>
  <si>
    <t>Elaborar ejemplar del software</t>
  </si>
  <si>
    <t>Repositorio completo del proyecto</t>
  </si>
  <si>
    <t>Repositorio como ejemplar; falta empaquetar según requerimientos INDECOPI</t>
  </si>
  <si>
    <t>INT-019-BOLT-003</t>
  </si>
  <si>
    <t>Elaborar declaración jurada de autoría</t>
  </si>
  <si>
    <t>Documento legal pendiente de elaboración</t>
  </si>
  <si>
    <t>INT-019-BOLT-004</t>
  </si>
  <si>
    <t>Elaborar lista de autores y roles</t>
  </si>
  <si>
    <t>README.md (menciona equipo SIDERAE)</t>
  </si>
  <si>
    <t>Lista parcial en README; falta documento formal con roles específicos</t>
  </si>
  <si>
    <t>INT-019-BOLT-005</t>
  </si>
  <si>
    <t>Elaborar representación legal o titularidad</t>
  </si>
  <si>
    <t>INT-019-BOLT-006</t>
  </si>
  <si>
    <t>Elaborar anexos técnicos</t>
  </si>
  <si>
    <t>docs/arquitectura/ (7 documentos), docs/calidad/ (5 documentos), docs/api.md</t>
  </si>
  <si>
    <t>Documentación técnica extensa; falta organizar como anexos formales</t>
  </si>
  <si>
    <t>INT-019-BOLT-007</t>
  </si>
  <si>
    <t>Elaborar memoria descriptiva para INDECOPI</t>
  </si>
  <si>
    <t>Memoria descriptiva para registro de software en INDECOPI pendiente</t>
  </si>
  <si>
    <t>INT-019-BOLT-008</t>
  </si>
  <si>
    <t>Elaborar documentación de cursos por nivel y grado</t>
  </si>
  <si>
    <t>docs/aula-notas-excel.md (20KB), docs/arquitectura/contexto-drs-requerimientos.md</t>
  </si>
  <si>
    <t>Documentación de notas por aula y requerimientos; falta documento de cursos por nivel/grado formal</t>
  </si>
  <si>
    <t>INT-019-BOLT-009</t>
  </si>
  <si>
    <t>Elaborar mapeo de competencias y capacidades de Inicial</t>
  </si>
  <si>
    <t>Mapeo_Competencias_Capacidades_Cursos_Inicial_SIDERAE_Blenkir.docx, Mapeo_Adicional_Ingles_Educacion_Fisica_Inicial_SIDERAE_Blenkir.docx</t>
  </si>
  <si>
    <t>Dos documentos Word con mapeo completo de competencias y capacidades de Inicial</t>
  </si>
  <si>
    <t>INT-019-BOLT-010</t>
  </si>
  <si>
    <t>Elaborar manual de instalación</t>
  </si>
  <si>
    <t>docs/instalacion-docker.md (6KB)</t>
  </si>
  <si>
    <t>Manual de instalación con Docker Compose documentado</t>
  </si>
  <si>
    <t>INT-019-BOLT-011</t>
  </si>
  <si>
    <t>Elaborar manual de usuario</t>
  </si>
  <si>
    <t>docs/manual-usuario.md (30KB)</t>
  </si>
  <si>
    <t>Manual de usuario extenso de 30KB</t>
  </si>
  <si>
    <t>INT-019-BOLT-012</t>
  </si>
  <si>
    <t>Preparar capturas del sistema</t>
  </si>
  <si>
    <t>No se encontraron capturas del sistema en el repositorio</t>
  </si>
  <si>
    <t>INT-019-BOLT-013</t>
  </si>
  <si>
    <t>Elaborar informe final preliminar</t>
  </si>
  <si>
    <t>docs/entregables/Informe_Final_SIDERAE_Blenkir_Preliminar.docx (2.5MB)</t>
  </si>
  <si>
    <t>Informe final preliminar en Word (2.5MB). Bolt adicional detectado.</t>
  </si>
  <si>
    <t>INT-019-BOLT-014</t>
  </si>
  <si>
    <t>Elaborar Estado del Arte</t>
  </si>
  <si>
    <t>docs/entregables/Estado_del_Arte_SIDERAE_Blenkir.docx, docs/entregables/Estado_del_Arte_SIDERAE_Blenkir.pdf, docs/estado-del-arte/</t>
  </si>
  <si>
    <t>Estado del arte en Word y PDF. Bolt adicional detectado.</t>
  </si>
  <si>
    <t>2026-05-20</t>
  </si>
  <si>
    <t>INT-019-BOLT-015</t>
  </si>
  <si>
    <t>Elaborar DRS (Documento de Requerimientos de Software)</t>
  </si>
  <si>
    <t>docs/drs/DRS_SIDERAE_Blenkir_v2.md (61KB)</t>
  </si>
  <si>
    <t>DRS v2 extenso de 61KB. Bolt adicional detectado.</t>
  </si>
  <si>
    <t>INT-019-BOLT-016</t>
  </si>
  <si>
    <t>Elaborar documentación de calidad ISO</t>
  </si>
  <si>
    <t>docs/calidad/alineacion-iso.md, docs/calidad/matriz-iso-25010.md, docs/calidad/matriz-seguridad-iso-27000.md, docs/calidad/trazabilidad-iso-9001.md, docs/calidad/no-conformidades-y-mejora.md</t>
  </si>
  <si>
    <t>5 documentos de calidad ISO (25010, 27000, 9001). Bolt adicional detectado.</t>
  </si>
  <si>
    <t>INT-020 Validación con el Colegio Blenkir</t>
  </si>
  <si>
    <t>INT-020-BOLT-001</t>
  </si>
  <si>
    <t>Preparar guía de entrevista</t>
  </si>
  <si>
    <t>Validación institucional</t>
  </si>
  <si>
    <t>Guía de entrevista pendiente de formalizar; información recopilada según docs</t>
  </si>
  <si>
    <t>INT-020-BOLT-002</t>
  </si>
  <si>
    <t>Levantar información del sistema actual del colegio</t>
  </si>
  <si>
    <t>docs/drs/DRS_SIDERAE_Blenkir_v2.md (análisis del contexto del colegio)</t>
  </si>
  <si>
    <t>Información parcial recopilada en DRS; falta documento de levantamiento formal</t>
  </si>
  <si>
    <t>INT-020-BOLT-003</t>
  </si>
  <si>
    <t>Analizar flujo real de notas</t>
  </si>
  <si>
    <t>docs/aula-notas-excel.md, backend/database/seeders/Curricular/CatalogoInstitucionalBlenkir.php</t>
  </si>
  <si>
    <t>Flujo de notas analizado y reflejado en seeders institucionales y documentación</t>
  </si>
  <si>
    <t>INT-020-BOLT-004</t>
  </si>
  <si>
    <t>Analizar flujo real de asistencia</t>
  </si>
  <si>
    <t>Flujo real de asistencia del colegio pendiente de documentar</t>
  </si>
  <si>
    <t>INT-020-BOLT-005</t>
  </si>
  <si>
    <t>Analizar boletas institucionales</t>
  </si>
  <si>
    <t>Análisis de formato de boletas del colegio pendiente</t>
  </si>
  <si>
    <t>INT-020-BOLT-006</t>
  </si>
  <si>
    <t>Analizar plantillas Excel del colegio</t>
  </si>
  <si>
    <t>docs/aula-notas-excel.md (análisis de plantilla registro auxiliar)</t>
  </si>
  <si>
    <t>Plantilla de registro auxiliar analizada y replicada en el sistema</t>
  </si>
  <si>
    <t>INT-020-BOLT-007</t>
  </si>
  <si>
    <t>Validar cursos por nivel y grado</t>
  </si>
  <si>
    <t>backend/database/seeders/Curricular/CatalogoInstitucionalBlenkir.php</t>
  </si>
  <si>
    <t>Catálogo institucional configurado; falta validación formal con el colegio</t>
  </si>
  <si>
    <t>INT-020-BOLT-008</t>
  </si>
  <si>
    <t>Validar competencias y capacidades de Inicial</t>
  </si>
  <si>
    <t>Mapeo_Competencias_Capacidades_Cursos_Inicial_SIDERAE_Blenkir.docx, backend/database/seeders/Curricular/CriteriosEvaluacionInicialSeeder.php, backend/database/seeders/Curricular/InicialIIBimestre2026Seeder.php</t>
  </si>
  <si>
    <t>backend/tests/Feature/Seeders/CriteriosEvaluacionInicialSeederTest.php, backend/tests/Feature/Seeders/InicialIIBimestre2026SeederTest.php</t>
  </si>
  <si>
    <t>Competencias y capacidades de Inicial documentadas y con seeders específicos; falta validación formal con docentes</t>
  </si>
  <si>
    <t>INT-020-BOLT-009</t>
  </si>
  <si>
    <t>Identificar limitaciones del sistema actual</t>
  </si>
  <si>
    <t>docs/limitaciones.md (19KB)</t>
  </si>
  <si>
    <t>Documento de limitaciones extenso de 19KB</t>
  </si>
  <si>
    <t>INT-020-BOLT-010</t>
  </si>
  <si>
    <t>Documentar necesidades detectadas</t>
  </si>
  <si>
    <t>docs/drs/DRS_SIDERAE_Blenkir_v2.md, docs/pruebas/hallazgos-fase1-documentacion.md</t>
  </si>
  <si>
    <t>Necesidades parcialmente documentadas en DRS y hallazgos de fase 1</t>
  </si>
  <si>
    <t>INT-020-BOLT-011</t>
  </si>
  <si>
    <t>Ajustar propuesta SIDERAE según hallazgos</t>
  </si>
  <si>
    <t>sprints/ (20 archivos de sprint documentando ajustes iterativos)</t>
  </si>
  <si>
    <t>Ajustes documentados en 20 sprints iterativos</t>
  </si>
  <si>
    <t>INT-020-BOLT-012</t>
  </si>
  <si>
    <t>Preparar presentación para director o docente</t>
  </si>
  <si>
    <t>Presentación formal para el colegio pendiente de elaboración</t>
  </si>
  <si>
    <t>SIDERAE-Blenkir — Panel Resumen de Matriz Bolts</t>
  </si>
  <si>
    <t>Revisión generada: 2026-06-24 | Datos desde hoja Bolts | Fórmulas actualizables</t>
  </si>
  <si>
    <t>Indicador</t>
  </si>
  <si>
    <t>Valor</t>
  </si>
  <si>
    <t>Detalle</t>
  </si>
  <si>
    <t>Cantidad</t>
  </si>
  <si>
    <t>Total de Bolts</t>
  </si>
  <si>
    <t>Cantidad total de tareas registradas</t>
  </si>
  <si>
    <t>Completados</t>
  </si>
  <si>
    <t>Bolts cerrados sin observación</t>
  </si>
  <si>
    <t>Bolts en avance</t>
  </si>
  <si>
    <t>Pendientes</t>
  </si>
  <si>
    <t>Bolts por iniciar o sin evidencia</t>
  </si>
  <si>
    <t>Observados</t>
  </si>
  <si>
    <t>Bolts con inconsistencias de evidencia o pruebas</t>
  </si>
  <si>
    <t>No implementado</t>
  </si>
  <si>
    <t>No implementados</t>
  </si>
  <si>
    <t>Bolts descartados o no desarrollados</t>
  </si>
  <si>
    <t>% de avance</t>
  </si>
  <si>
    <t>Completados / Total</t>
  </si>
  <si>
    <t>Evidencia / Pruebas</t>
  </si>
  <si>
    <t>Con implementación registrada</t>
  </si>
  <si>
    <t>Sin implementación registrada</t>
  </si>
  <si>
    <t>Con pruebas ejecutadas</t>
  </si>
  <si>
    <t>Sin pruebas ejecutadas</t>
  </si>
  <si>
    <t>Total</t>
  </si>
  <si>
    <t>Pendientes/Observados</t>
  </si>
  <si>
    <t>% Avance</t>
  </si>
  <si>
    <t>CORRECCIONES QA CERRADAS – REVISIÓN FINAL</t>
  </si>
  <si>
    <t>Actualización: 2026-06-24. Se actualiza la trazabilidad tras evidencias de pruebas backend, frontend Cypress y SonarQube.</t>
  </si>
  <si>
    <t>Estado anterior</t>
  </si>
  <si>
    <t>Estado final</t>
  </si>
  <si>
    <t>Evidencia / motivo de cierre</t>
  </si>
  <si>
    <t>Observado documentado</t>
  </si>
  <si>
    <t>Resumen</t>
  </si>
  <si>
    <t>Observados documentados</t>
  </si>
  <si>
    <t>Riesgo</t>
  </si>
  <si>
    <t>BOLTS CORREGIDOS, OBSERVADOS Y PENDIENTES</t>
  </si>
  <si>
    <t>Revisión final 2026-06-24: se actualizan los Bolts auditados con evidencias de PHPUnit, Cypress y SonarQube.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</si>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</sst>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name val="Carlito"/>
    </font>
    <font>
      <b/>
      <sz val="14"/>
      <color rgb="FFFFFFFF"/>
      <name val="Carlito"/>
    </font>
    <font>
      <sz val="10"/>
      <color rgb="FF111827"/>
      <name val="Carlito"/>
    </font>
    <font>
      <b/>
      <sz val="10"/>
      <color rgb="FFFFFFFF"/>
      <name val="Carlito"/>
    </font>
    <font>
      <sz val="9"/>
      <color rgb="FF111827"/>
      <name val="Carlito"/>
    </font>
    <font>
      <b/>
      <sz val="9"/>
      <color rgb="FF111827"/>
      <name val="Carlito"/>
    </font>
    <font>
      <sz val="10"/>
      <color rgb="FF111827"/>
      <name val="Calibri"/>
    </font>
    <font>
      <sz val="10"/>
      <color rgb="FF111827"/>
      <name val="Calibri"/>
    </font>
    <font>
      <b/>
      <sz val="14"/>
      <color rgb="FFFFFFFF"/>
      <name val="Calibri"/>
    </font>
    <font>
      <b/>
      <sz val="10"/>
      <color rgb="FFFFFFFF"/>
      <name val="Calibri"/>
    </font>
  </fonts>
  <fills count="2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374151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B3E5FC"/>
      </patternFill>
    </fill>
    <fill>
      <patternFill patternType="solid">
        <fgColor rgb="FFBBDEFB"/>
      </patternFill>
    </fill>
    <fill>
      <patternFill patternType="solid">
        <fgColor rgb="FFC8E6C9"/>
      </patternFill>
    </fill>
    <fill>
      <patternFill patternType="solid">
        <fgColor rgb="FFA5D6A7"/>
      </patternFill>
    </fill>
    <fill>
      <patternFill patternType="solid">
        <fgColor rgb="FFE1BEE7"/>
      </patternFill>
    </fill>
    <fill>
      <patternFill patternType="solid">
        <fgColor rgb="FFD1C4E9"/>
      </patternFill>
    </fill>
    <fill>
      <patternFill patternType="solid">
        <fgColor rgb="FFF8BBD0"/>
      </patternFill>
    </fill>
    <fill>
      <patternFill patternType="solid">
        <fgColor rgb="FFCFD8DC"/>
      </patternFill>
    </fill>
    <fill>
      <patternFill patternType="solid">
        <fgColor rgb="FFFFCDD2"/>
      </patternFill>
    </fill>
    <fill>
      <patternFill patternType="solid">
        <fgColor rgb="FFEF9A9A"/>
      </patternFill>
    </fill>
    <fill>
      <patternFill patternType="solid">
        <fgColor rgb="FFFFCCBC"/>
      </patternFill>
    </fill>
    <fill>
      <patternFill patternType="solid">
        <fgColor rgb="FFD7CCC8"/>
      </patternFill>
    </fill>
    <fill>
      <patternFill patternType="solid">
        <fgColor rgb="FFB2DFDB"/>
      </patternFill>
    </fill>
    <fill>
      <patternFill patternType="solid">
        <fgColor rgb="FF90A4AE"/>
      </patternFill>
    </fill>
    <fill>
      <patternFill patternType="solid">
        <fgColor rgb="FFFFF176"/>
      </patternFill>
    </fill>
    <fill>
      <patternFill patternType="solid">
        <fgColor rgb="FF80CBC4"/>
      </patternFill>
    </fill>
    <fill>
      <patternFill patternType="solid">
        <fgColor rgb="FF80DEEA"/>
      </patternFill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vertical="top" wrapText="1"/>
    </xf>
    <xf numFmtId="0" fontId="5" fillId="5" borderId="0" xfId="0" applyNumberFormat="1" applyFont="1" applyFill="1" applyBorder="1" applyAlignment="1">
      <alignment vertical="top" wrapText="1"/>
    </xf>
    <xf numFmtId="0" fontId="5" fillId="6" borderId="0" xfId="0" applyNumberFormat="1" applyFont="1" applyFill="1" applyBorder="1" applyAlignment="1">
      <alignment vertical="top" wrapText="1"/>
    </xf>
    <xf numFmtId="0" fontId="5" fillId="7" borderId="0" xfId="0" applyNumberFormat="1" applyFont="1" applyFill="1" applyBorder="1" applyAlignment="1">
      <alignment vertical="top" wrapText="1"/>
    </xf>
    <xf numFmtId="0" fontId="5" fillId="8" borderId="0" xfId="0" applyNumberFormat="1" applyFont="1" applyFill="1" applyBorder="1" applyAlignment="1">
      <alignment vertical="top" wrapText="1"/>
    </xf>
    <xf numFmtId="0" fontId="5" fillId="9" borderId="0" xfId="0" applyNumberFormat="1" applyFont="1" applyFill="1" applyBorder="1" applyAlignment="1">
      <alignment vertical="top" wrapText="1"/>
    </xf>
    <xf numFmtId="0" fontId="5" fillId="10" borderId="0" xfId="0" applyNumberFormat="1" applyFont="1" applyFill="1" applyBorder="1" applyAlignment="1">
      <alignment vertical="top" wrapText="1"/>
    </xf>
    <xf numFmtId="0" fontId="5" fillId="11" borderId="0" xfId="0" applyNumberFormat="1" applyFont="1" applyFill="1" applyBorder="1" applyAlignment="1">
      <alignment vertical="top" wrapText="1"/>
    </xf>
    <xf numFmtId="0" fontId="5" fillId="12" borderId="0" xfId="0" applyNumberFormat="1" applyFont="1" applyFill="1" applyBorder="1" applyAlignment="1">
      <alignment vertical="top" wrapText="1"/>
    </xf>
    <xf numFmtId="0" fontId="5" fillId="13" borderId="0" xfId="0" applyNumberFormat="1" applyFont="1" applyFill="1" applyBorder="1" applyAlignment="1">
      <alignment vertical="top" wrapText="1"/>
    </xf>
    <xf numFmtId="0" fontId="5" fillId="14" borderId="0" xfId="0" applyNumberFormat="1" applyFont="1" applyFill="1" applyBorder="1" applyAlignment="1">
      <alignment vertical="top" wrapText="1"/>
    </xf>
    <xf numFmtId="0" fontId="5" fillId="15" borderId="0" xfId="0" applyNumberFormat="1" applyFont="1" applyFill="1" applyBorder="1" applyAlignment="1">
      <alignment vertical="top" wrapText="1"/>
    </xf>
    <xf numFmtId="0" fontId="5" fillId="16" borderId="0" xfId="0" applyNumberFormat="1" applyFont="1" applyFill="1" applyBorder="1" applyAlignment="1">
      <alignment vertical="top" wrapText="1"/>
    </xf>
    <xf numFmtId="0" fontId="5" fillId="17" borderId="0" xfId="0" applyNumberFormat="1" applyFont="1" applyFill="1" applyBorder="1" applyAlignment="1">
      <alignment vertical="top" wrapText="1"/>
    </xf>
    <xf numFmtId="0" fontId="5" fillId="18" borderId="0" xfId="0" applyNumberFormat="1" applyFont="1" applyFill="1" applyBorder="1" applyAlignment="1">
      <alignment vertical="top" wrapText="1"/>
    </xf>
    <xf numFmtId="0" fontId="5" fillId="19" borderId="0" xfId="0" applyNumberFormat="1" applyFont="1" applyFill="1" applyBorder="1" applyAlignment="1">
      <alignment vertical="top" wrapText="1"/>
    </xf>
    <xf numFmtId="0" fontId="5" fillId="20" borderId="0" xfId="0" applyNumberFormat="1" applyFont="1" applyFill="1" applyBorder="1" applyAlignment="1">
      <alignment vertical="top" wrapText="1"/>
    </xf>
    <xf numFmtId="0" fontId="5" fillId="21" borderId="0" xfId="0" applyNumberFormat="1" applyFont="1" applyFill="1" applyBorder="1" applyAlignment="1">
      <alignment vertical="top" wrapText="1"/>
    </xf>
    <xf numFmtId="0" fontId="5" fillId="22" borderId="0" xfId="0" applyNumberFormat="1" applyFont="1" applyFill="1" applyBorder="1" applyAlignment="1">
      <alignment vertical="top" wrapText="1"/>
    </xf>
    <xf numFmtId="0" fontId="5" fillId="23" borderId="0" xfId="0" applyNumberFormat="1" applyFont="1" applyFill="1" applyBorder="1" applyAlignment="1">
      <alignment vertical="top" wrapText="1"/>
    </xf>
    <xf numFmtId="164" fontId="4" fillId="0" borderId="0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/>
    <xf numFmtId="0" fontId="6" fillId="0" borderId="0" xfId="0" applyNumberFormat="1" applyFont="1" applyFill="1" applyBorder="1" applyAlignment="1">
      <alignment wrapText="1"/>
    </xf>
    <xf numFmtId="10" fontId="6" fillId="0" borderId="0" xfId="0" applyNumberFormat="1" applyFont="1" applyFill="1" applyBorder="1" applyAlignment="1">
      <alignment wrapText="1"/>
    </xf>
    <xf numFmtId="0" fontId="9" fillId="4" borderId="0" xfId="0" applyNumberFormat="1" applyFont="1" applyFill="1" applyBorder="1" applyAlignment="1">
      <alignment horizontal="center" vertical="center" wrapText="1"/>
    </xf>
    <xf numFmtId="0" fontId="9" fillId="24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Border="1" applyAlignment="1">
      <alignment horizontal="center" vertical="center"/>
    </xf>
    <xf numFmtId="0" fontId="7" fillId="3" borderId="0" xfId="0" applyNumberFormat="1" applyFont="1" applyFill="1" applyBorder="1" applyAlignment="1">
      <alignment horizontal="center" vertical="center"/>
    </xf>
    <xf numFmtId="0" fontId="8" fillId="25" borderId="0" xfId="0" applyNumberFormat="1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>
      <alignment horizontal="center" vertical="center" wrapText="1"/>
    </xf>
    <xf numFmtId="0" fontId="8" fillId="25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rgb="FFFEF9C3"/>
        </patternFill>
      </fill>
    </dxf>
    <dxf>
      <fill>
        <patternFill>
          <bgColor rgb="FFFFFBEB"/>
        </patternFill>
      </fill>
    </dxf>
    <dxf>
      <fill>
        <patternFill>
          <bgColor rgb="FFFFF1F2"/>
        </patternFill>
      </fill>
    </dxf>
    <dxf>
      <font>
        <b/>
        <color rgb="FF374151"/>
      </font>
      <fill>
        <patternFill>
          <bgColor rgb="FFE5E7EB"/>
        </patternFill>
      </fill>
    </dxf>
    <dxf>
      <font>
        <b/>
        <color rgb="FF7F1D1D"/>
      </font>
      <fill>
        <patternFill>
          <bgColor rgb="FFFCA5A5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A3412"/>
      </font>
      <fill>
        <patternFill>
          <bgColor rgb="FFFFEDD5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PE"/>
              <a:t>Distribución por estado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Cantidad</c:v>
          </c:tx>
          <c:cat>
            <c:strRef>
              <c:f>Resumen!$F$5:$F$9</c:f>
              <c:strCache>
                <c:ptCount val="5"/>
                <c:pt idx="0">
                  <c:v>Completado</c:v>
                </c:pt>
                <c:pt idx="1">
                  <c:v>En proceso</c:v>
                </c:pt>
                <c:pt idx="2">
                  <c:v>Pendiente</c:v>
                </c:pt>
                <c:pt idx="3">
                  <c:v>Observado</c:v>
                </c:pt>
                <c:pt idx="4">
                  <c:v>No implementado</c:v>
                </c:pt>
              </c:strCache>
            </c:strRef>
          </c:cat>
          <c:val>
            <c:numRef>
              <c:f>Resumen!$G$5:$G$9</c:f>
              <c:numCache>
                <c:formatCode>General</c:formatCode>
                <c:ptCount val="5"/>
                <c:pt idx="0">
                  <c:v>160</c:v>
                </c:pt>
                <c:pt idx="1">
                  <c:v>47</c:v>
                </c:pt>
                <c:pt idx="2">
                  <c:v>25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F-45C2-916D-178F80D58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Avance por Intent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invertIfNegative val="1"/>
          <c:cat>
            <c:strRef>
              <c:f>Resumen!$A$21:$A$40</c:f>
              <c:strCache>
                <c:ptCount val="20"/>
                <c:pt idx="0">
                  <c:v>INT-001 Configurar base del proyecto y entorno</c:v>
                </c:pt>
                <c:pt idx="1">
                  <c:v>INT-002 Autenticación, usuarios y roles</c:v>
                </c:pt>
                <c:pt idx="2">
                  <c:v>INT-003 Gestión de estudiantes</c:v>
                </c:pt>
                <c:pt idx="3">
                  <c:v>INT-004 Configuración académica por nivel y grado</c:v>
                </c:pt>
                <c:pt idx="4">
                  <c:v>INT-005 Registro de notas</c:v>
                </c:pt>
                <c:pt idx="5">
                  <c:v>INT-006 Importación de plantillas Excel</c:v>
                </c:pt>
                <c:pt idx="6">
                  <c:v>INT-007 Registro de asistencia</c:v>
                </c:pt>
                <c:pt idx="7">
                  <c:v>INT-008 ETA / Fast Test</c:v>
                </c:pt>
                <c:pt idx="8">
                  <c:v>INT-009 Reportes conductuales y tutoría</c:v>
                </c:pt>
                <c:pt idx="9">
                  <c:v>INT-010 Variables socioeconómicas y datos familiares</c:v>
                </c:pt>
                <c:pt idx="10">
                  <c:v>INT-011 Procesamiento del riesgo académico</c:v>
                </c:pt>
                <c:pt idx="11">
                  <c:v>INT-012 Microservicio de Machine Learning</c:v>
                </c:pt>
                <c:pt idx="12">
                  <c:v>INT-013 Alertas tempranas</c:v>
                </c:pt>
                <c:pt idx="13">
                  <c:v>INT-014 Intervenciones y seguimiento</c:v>
                </c:pt>
                <c:pt idx="14">
                  <c:v>INT-015 Dashboard y reportes</c:v>
                </c:pt>
                <c:pt idx="15">
                  <c:v>INT-016 Auditoría y trazabilidad</c:v>
                </c:pt>
                <c:pt idx="16">
                  <c:v>INT-017 Seguridad y calidad</c:v>
                </c:pt>
                <c:pt idx="17">
                  <c:v>INT-018 Pruebas automáticas</c:v>
                </c:pt>
                <c:pt idx="18">
                  <c:v>INT-019 Documentación académica y propiedad intelectual</c:v>
                </c:pt>
                <c:pt idx="19">
                  <c:v>INT-020 Validación con el Colegio Blenkir</c:v>
                </c:pt>
              </c:strCache>
            </c:strRef>
          </c:cat>
          <c:val>
            <c:numRef>
              <c:f>Resumen!$B$21:$B$40</c:f>
              <c:numCache>
                <c:formatCode>General</c:formatCode>
                <c:ptCount val="2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19</c:v>
                </c:pt>
                <c:pt idx="4">
                  <c:v>16</c:v>
                </c:pt>
                <c:pt idx="5">
                  <c:v>14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9</c:v>
                </c:pt>
                <c:pt idx="10">
                  <c:v>15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14</c:v>
                </c:pt>
                <c:pt idx="15">
                  <c:v>10</c:v>
                </c:pt>
                <c:pt idx="16">
                  <c:v>10</c:v>
                </c:pt>
                <c:pt idx="17">
                  <c:v>12</c:v>
                </c:pt>
                <c:pt idx="18">
                  <c:v>16</c:v>
                </c:pt>
                <c:pt idx="1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5-4430-B970-A002DD570137}"/>
            </c:ext>
          </c:extLst>
        </c:ser>
        <c:ser>
          <c:idx val="1"/>
          <c:order val="1"/>
          <c:tx>
            <c:v>Completados</c:v>
          </c:tx>
          <c:invertIfNegative val="1"/>
          <c:cat>
            <c:strRef>
              <c:f>Resumen!$A$21:$A$40</c:f>
              <c:strCache>
                <c:ptCount val="20"/>
                <c:pt idx="0">
                  <c:v>INT-001 Configurar base del proyecto y entorno</c:v>
                </c:pt>
                <c:pt idx="1">
                  <c:v>INT-002 Autenticación, usuarios y roles</c:v>
                </c:pt>
                <c:pt idx="2">
                  <c:v>INT-003 Gestión de estudiantes</c:v>
                </c:pt>
                <c:pt idx="3">
                  <c:v>INT-004 Configuración académica por nivel y grado</c:v>
                </c:pt>
                <c:pt idx="4">
                  <c:v>INT-005 Registro de notas</c:v>
                </c:pt>
                <c:pt idx="5">
                  <c:v>INT-006 Importación de plantillas Excel</c:v>
                </c:pt>
                <c:pt idx="6">
                  <c:v>INT-007 Registro de asistencia</c:v>
                </c:pt>
                <c:pt idx="7">
                  <c:v>INT-008 ETA / Fast Test</c:v>
                </c:pt>
                <c:pt idx="8">
                  <c:v>INT-009 Reportes conductuales y tutoría</c:v>
                </c:pt>
                <c:pt idx="9">
                  <c:v>INT-010 Variables socioeconómicas y datos familiares</c:v>
                </c:pt>
                <c:pt idx="10">
                  <c:v>INT-011 Procesamiento del riesgo académico</c:v>
                </c:pt>
                <c:pt idx="11">
                  <c:v>INT-012 Microservicio de Machine Learning</c:v>
                </c:pt>
                <c:pt idx="12">
                  <c:v>INT-013 Alertas tempranas</c:v>
                </c:pt>
                <c:pt idx="13">
                  <c:v>INT-014 Intervenciones y seguimiento</c:v>
                </c:pt>
                <c:pt idx="14">
                  <c:v>INT-015 Dashboard y reportes</c:v>
                </c:pt>
                <c:pt idx="15">
                  <c:v>INT-016 Auditoría y trazabilidad</c:v>
                </c:pt>
                <c:pt idx="16">
                  <c:v>INT-017 Seguridad y calidad</c:v>
                </c:pt>
                <c:pt idx="17">
                  <c:v>INT-018 Pruebas automáticas</c:v>
                </c:pt>
                <c:pt idx="18">
                  <c:v>INT-019 Documentación académica y propiedad intelectual</c:v>
                </c:pt>
                <c:pt idx="19">
                  <c:v>INT-020 Validación con el Colegio Blenkir</c:v>
                </c:pt>
              </c:strCache>
            </c:strRef>
          </c:cat>
          <c:val>
            <c:numRef>
              <c:f>Resumen!$C$21:$C$40</c:f>
              <c:numCache>
                <c:formatCode>General</c:formatCode>
                <c:ptCount val="20"/>
                <c:pt idx="0">
                  <c:v>7</c:v>
                </c:pt>
                <c:pt idx="1">
                  <c:v>10</c:v>
                </c:pt>
                <c:pt idx="2">
                  <c:v>8</c:v>
                </c:pt>
                <c:pt idx="3">
                  <c:v>18</c:v>
                </c:pt>
                <c:pt idx="4">
                  <c:v>13</c:v>
                </c:pt>
                <c:pt idx="5">
                  <c:v>7</c:v>
                </c:pt>
                <c:pt idx="6">
                  <c:v>9</c:v>
                </c:pt>
                <c:pt idx="7">
                  <c:v>7</c:v>
                </c:pt>
                <c:pt idx="8">
                  <c:v>5</c:v>
                </c:pt>
                <c:pt idx="9">
                  <c:v>3</c:v>
                </c:pt>
                <c:pt idx="10">
                  <c:v>15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  <c:pt idx="14">
                  <c:v>10</c:v>
                </c:pt>
                <c:pt idx="15">
                  <c:v>5</c:v>
                </c:pt>
                <c:pt idx="16">
                  <c:v>3</c:v>
                </c:pt>
                <c:pt idx="17">
                  <c:v>10</c:v>
                </c:pt>
                <c:pt idx="18">
                  <c:v>6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75-4430-B970-A002DD570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10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10</xdr:col>
      <xdr:colOff>0</xdr:colOff>
      <xdr:row>62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ltsTable" displayName="BoltsTable" ref="A4:P238">
  <tableColumns count="16">
    <tableColumn id="1" xr3:uid="{00000000-0010-0000-0000-000001000000}" name="Intent"/>
    <tableColumn id="2" xr3:uid="{00000000-0010-0000-0000-000002000000}" name="ID del Bolt"/>
    <tableColumn id="3" xr3:uid="{00000000-0010-0000-0000-000003000000}" name="Descripción del Bolt"/>
    <tableColumn id="4" xr3:uid="{00000000-0010-0000-0000-000004000000}" name="Fase / Módulo"/>
    <tableColumn id="5" xr3:uid="{00000000-0010-0000-0000-000005000000}" name="¿Implementación registrada?"/>
    <tableColumn id="6" xr3:uid="{00000000-0010-0000-0000-000006000000}" name="Evidencia de implementación"/>
    <tableColumn id="7" xr3:uid="{00000000-0010-0000-0000-000007000000}" name="¿Pruebas ejecutadas?"/>
    <tableColumn id="8" xr3:uid="{00000000-0010-0000-0000-000008000000}" name="Evidencia de pruebas"/>
    <tableColumn id="9" xr3:uid="{00000000-0010-0000-0000-000009000000}" name="Estado"/>
    <tableColumn id="10" xr3:uid="{00000000-0010-0000-0000-00000A000000}" name="Prioridad"/>
    <tableColumn id="11" xr3:uid="{00000000-0010-0000-0000-00000B000000}" name="Responsable"/>
    <tableColumn id="12" xr3:uid="{00000000-0010-0000-0000-00000C000000}" name="Tipo de Bolt"/>
    <tableColumn id="13" xr3:uid="{00000000-0010-0000-0000-00000D000000}" name="Riesgo asociado"/>
    <tableColumn id="14" xr3:uid="{00000000-0010-0000-0000-00000E000000}" name="Observaciones"/>
    <tableColumn id="15" xr3:uid="{00000000-0010-0000-0000-00000F000000}" name="Fecha estimada"/>
    <tableColumn id="16" xr3:uid="{00000000-0010-0000-0000-000010000000}" name="Fecha de cier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tentSummaryTable" displayName="IntentSummaryTable" ref="A20:E40">
  <tableColumns count="5">
    <tableColumn id="1" xr3:uid="{00000000-0010-0000-0100-000001000000}" name="Intent"/>
    <tableColumn id="2" xr3:uid="{00000000-0010-0000-0100-000002000000}" name="Total"/>
    <tableColumn id="3" xr3:uid="{00000000-0010-0000-0100-000003000000}" name="Completados"/>
    <tableColumn id="4" xr3:uid="{00000000-0010-0000-0100-000004000000}" name="Pendientes/Observados"/>
    <tableColumn id="5" xr3:uid="{00000000-0010-0000-0100-000005000000}" name="% Av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ponsibleSummaryTable" displayName="ResponsibleSummaryTable" ref="G20:J23">
  <tableColumns count="4">
    <tableColumn id="1" xr3:uid="{00000000-0010-0000-0200-000001000000}" name="Responsable"/>
    <tableColumn id="2" xr3:uid="{00000000-0010-0000-0200-000002000000}" name="Total"/>
    <tableColumn id="3" xr3:uid="{00000000-0010-0000-0200-000003000000}" name="Completados"/>
    <tableColumn id="4" xr3:uid="{00000000-0010-0000-0200-000004000000}" name="% Av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rreccionesQATable" displayName="CorreccionesQATable" ref="A4:E11">
  <tableColumns count="5">
    <tableColumn id="1" xr3:uid="{00000000-0010-0000-0300-000001000000}" name="ID del Bolt"/>
    <tableColumn id="2" xr3:uid="{00000000-0010-0000-0300-000002000000}" name="Intent"/>
    <tableColumn id="3" xr3:uid="{00000000-0010-0000-0300-000003000000}" name="Estado original"/>
    <tableColumn id="4" xr3:uid="{00000000-0010-0000-0300-000004000000}" name="Estado corregido"/>
    <tableColumn id="5" xr3:uid="{00000000-0010-0000-0300-000005000000}" name="Motivo de correcció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endientesCriticosTable" displayName="PendientesCriticosTable" ref="A4:H13">
  <tableColumns count="8">
    <tableColumn id="1" xr3:uid="{00000000-0010-0000-0400-000001000000}" name="Intent"/>
    <tableColumn id="2" xr3:uid="{00000000-0010-0000-0400-000002000000}" name="ID del Bolt"/>
    <tableColumn id="3" xr3:uid="{00000000-0010-0000-0400-000003000000}" name="Descripción"/>
    <tableColumn id="4" xr3:uid="{00000000-0010-0000-0400-000004000000}" name="Estado"/>
    <tableColumn id="5" xr3:uid="{00000000-0010-0000-0400-000005000000}" name="Prioridad"/>
    <tableColumn id="6" xr3:uid="{00000000-0010-0000-0400-000006000000}" name="Riesgo"/>
    <tableColumn id="7" xr3:uid="{00000000-0010-0000-0400-000007000000}" name="Responsable"/>
    <tableColumn id="8" xr3:uid="{00000000-0010-0000-0400-000008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8"/>
  <sheetViews>
    <sheetView topLeftCell="A37" workbookViewId="0">
      <selection sqref="A1:P1"/>
    </sheetView>
  </sheetViews>
  <sheetFormatPr baseColWidth="10" defaultColWidth="9" defaultRowHeight="14.25"/>
  <cols>
    <col min="1" max="1" width="34" customWidth="1"/>
    <col min="2" max="2" width="22" customWidth="1"/>
    <col min="3" max="3" width="34" customWidth="1"/>
    <col min="4" max="4" width="25" customWidth="1"/>
    <col min="5" max="5" width="20" customWidth="1"/>
    <col min="6" max="6" width="32" customWidth="1"/>
    <col min="7" max="7" width="18" customWidth="1"/>
    <col min="8" max="8" width="32" customWidth="1"/>
    <col min="9" max="9" width="16" customWidth="1"/>
    <col min="10" max="10" width="12" customWidth="1"/>
    <col min="11" max="11" width="33" customWidth="1"/>
    <col min="12" max="12" width="19" customWidth="1"/>
    <col min="13" max="13" width="15" customWidth="1"/>
    <col min="14" max="14" width="45" customWidth="1"/>
    <col min="15" max="16" width="14" customWidth="1"/>
  </cols>
  <sheetData>
    <row r="1" spans="1:16" ht="26.1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21.9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6" ht="21.9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1:16" ht="42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</row>
    <row r="5" spans="1:16" ht="36">
      <c r="A5" s="3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28</v>
      </c>
      <c r="K5" s="2" t="s">
        <v>29</v>
      </c>
      <c r="L5" s="2" t="s">
        <v>30</v>
      </c>
      <c r="M5" s="2" t="s">
        <v>31</v>
      </c>
      <c r="N5" s="2" t="s">
        <v>32</v>
      </c>
      <c r="O5" s="22" t="s">
        <v>33</v>
      </c>
      <c r="P5" s="22" t="s">
        <v>34</v>
      </c>
    </row>
    <row r="6" spans="1:16" ht="36">
      <c r="A6" s="3" t="s">
        <v>19</v>
      </c>
      <c r="B6" s="2" t="s">
        <v>35</v>
      </c>
      <c r="C6" s="2" t="s">
        <v>36</v>
      </c>
      <c r="D6" s="2" t="s">
        <v>22</v>
      </c>
      <c r="E6" s="2" t="s">
        <v>23</v>
      </c>
      <c r="F6" s="2" t="s">
        <v>37</v>
      </c>
      <c r="G6" s="2" t="s">
        <v>25</v>
      </c>
      <c r="H6" s="2" t="s">
        <v>38</v>
      </c>
      <c r="I6" s="2" t="s">
        <v>27</v>
      </c>
      <c r="J6" s="2" t="s">
        <v>28</v>
      </c>
      <c r="K6" s="2" t="s">
        <v>29</v>
      </c>
      <c r="L6" s="2" t="s">
        <v>30</v>
      </c>
      <c r="M6" s="2" t="s">
        <v>31</v>
      </c>
      <c r="N6" s="2" t="s">
        <v>39</v>
      </c>
      <c r="O6" s="22" t="s">
        <v>33</v>
      </c>
      <c r="P6" s="22" t="s">
        <v>34</v>
      </c>
    </row>
    <row r="7" spans="1:16" ht="36">
      <c r="A7" s="3" t="s">
        <v>19</v>
      </c>
      <c r="B7" s="2" t="s">
        <v>40</v>
      </c>
      <c r="C7" s="2" t="s">
        <v>41</v>
      </c>
      <c r="D7" s="2" t="s">
        <v>22</v>
      </c>
      <c r="E7" s="2" t="s">
        <v>23</v>
      </c>
      <c r="F7" s="2" t="s">
        <v>42</v>
      </c>
      <c r="G7" s="2" t="s">
        <v>25</v>
      </c>
      <c r="H7" s="2" t="s">
        <v>26</v>
      </c>
      <c r="I7" s="2" t="s">
        <v>27</v>
      </c>
      <c r="J7" s="2" t="s">
        <v>28</v>
      </c>
      <c r="K7" s="2" t="s">
        <v>29</v>
      </c>
      <c r="L7" s="2" t="s">
        <v>30</v>
      </c>
      <c r="M7" s="2" t="s">
        <v>31</v>
      </c>
      <c r="N7" s="2" t="s">
        <v>43</v>
      </c>
      <c r="O7" s="22" t="s">
        <v>33</v>
      </c>
      <c r="P7" s="22" t="s">
        <v>34</v>
      </c>
    </row>
    <row r="8" spans="1:16" ht="24">
      <c r="A8" s="3" t="s">
        <v>19</v>
      </c>
      <c r="B8" s="2" t="s">
        <v>44</v>
      </c>
      <c r="C8" s="2" t="s">
        <v>45</v>
      </c>
      <c r="D8" s="2" t="s">
        <v>46</v>
      </c>
      <c r="E8" s="2" t="s">
        <v>23</v>
      </c>
      <c r="F8" s="2" t="s">
        <v>47</v>
      </c>
      <c r="G8" s="2" t="s">
        <v>25</v>
      </c>
      <c r="H8" s="2" t="s">
        <v>26</v>
      </c>
      <c r="I8" s="2" t="s">
        <v>27</v>
      </c>
      <c r="J8" s="2" t="s">
        <v>28</v>
      </c>
      <c r="K8" s="2" t="s">
        <v>48</v>
      </c>
      <c r="L8" s="2" t="s">
        <v>46</v>
      </c>
      <c r="M8" s="2" t="s">
        <v>31</v>
      </c>
      <c r="N8" s="2" t="s">
        <v>49</v>
      </c>
      <c r="O8" s="22" t="s">
        <v>33</v>
      </c>
      <c r="P8" s="22" t="s">
        <v>34</v>
      </c>
    </row>
    <row r="9" spans="1:16" ht="24">
      <c r="A9" s="3" t="s">
        <v>19</v>
      </c>
      <c r="B9" s="2" t="s">
        <v>50</v>
      </c>
      <c r="C9" s="2" t="s">
        <v>51</v>
      </c>
      <c r="D9" s="2" t="s">
        <v>52</v>
      </c>
      <c r="E9" s="2" t="s">
        <v>23</v>
      </c>
      <c r="F9" s="2" t="s">
        <v>53</v>
      </c>
      <c r="G9" s="2" t="s">
        <v>25</v>
      </c>
      <c r="H9" s="2" t="s">
        <v>26</v>
      </c>
      <c r="I9" s="2" t="s">
        <v>27</v>
      </c>
      <c r="J9" s="2" t="s">
        <v>28</v>
      </c>
      <c r="K9" s="2" t="s">
        <v>54</v>
      </c>
      <c r="L9" s="2" t="s">
        <v>52</v>
      </c>
      <c r="M9" s="2" t="s">
        <v>31</v>
      </c>
      <c r="N9" s="2" t="s">
        <v>55</v>
      </c>
      <c r="O9" s="22" t="s">
        <v>33</v>
      </c>
      <c r="P9" s="22" t="s">
        <v>34</v>
      </c>
    </row>
    <row r="10" spans="1:16" ht="36">
      <c r="A10" s="3" t="s">
        <v>19</v>
      </c>
      <c r="B10" s="2" t="s">
        <v>56</v>
      </c>
      <c r="C10" s="2" t="s">
        <v>57</v>
      </c>
      <c r="D10" s="2" t="s">
        <v>58</v>
      </c>
      <c r="E10" s="2" t="s">
        <v>23</v>
      </c>
      <c r="F10" s="2" t="s">
        <v>59</v>
      </c>
      <c r="G10" s="2" t="s">
        <v>23</v>
      </c>
      <c r="H10" s="2" t="s">
        <v>60</v>
      </c>
      <c r="I10" s="2" t="s">
        <v>27</v>
      </c>
      <c r="J10" s="2" t="s">
        <v>28</v>
      </c>
      <c r="K10" s="2" t="s">
        <v>48</v>
      </c>
      <c r="L10" s="2" t="s">
        <v>61</v>
      </c>
      <c r="M10" s="2" t="s">
        <v>31</v>
      </c>
      <c r="N10" s="2" t="s">
        <v>62</v>
      </c>
      <c r="O10" s="22" t="s">
        <v>33</v>
      </c>
      <c r="P10" s="22" t="s">
        <v>63</v>
      </c>
    </row>
    <row r="11" spans="1:16" ht="24">
      <c r="A11" s="3" t="s">
        <v>19</v>
      </c>
      <c r="B11" s="2" t="s">
        <v>64</v>
      </c>
      <c r="C11" s="2" t="s">
        <v>65</v>
      </c>
      <c r="D11" s="2" t="s">
        <v>22</v>
      </c>
      <c r="E11" s="2" t="s">
        <v>23</v>
      </c>
      <c r="F11" s="2" t="s">
        <v>66</v>
      </c>
      <c r="G11" s="2" t="s">
        <v>25</v>
      </c>
      <c r="H11" s="2" t="s">
        <v>38</v>
      </c>
      <c r="I11" s="2" t="s">
        <v>67</v>
      </c>
      <c r="J11" s="2" t="s">
        <v>68</v>
      </c>
      <c r="K11" s="2" t="s">
        <v>29</v>
      </c>
      <c r="L11" s="2" t="s">
        <v>30</v>
      </c>
      <c r="M11" s="2" t="s">
        <v>69</v>
      </c>
      <c r="N11" s="2" t="s">
        <v>70</v>
      </c>
      <c r="O11" s="22" t="s">
        <v>71</v>
      </c>
      <c r="P11" s="22" t="s">
        <v>72</v>
      </c>
    </row>
    <row r="12" spans="1:16" ht="24">
      <c r="A12" s="3" t="s">
        <v>19</v>
      </c>
      <c r="B12" s="2" t="s">
        <v>73</v>
      </c>
      <c r="C12" s="2" t="s">
        <v>74</v>
      </c>
      <c r="D12" s="2" t="s">
        <v>75</v>
      </c>
      <c r="E12" s="2" t="s">
        <v>23</v>
      </c>
      <c r="F12" s="2" t="s">
        <v>76</v>
      </c>
      <c r="G12" s="2" t="s">
        <v>25</v>
      </c>
      <c r="H12" s="2" t="s">
        <v>26</v>
      </c>
      <c r="I12" s="2" t="s">
        <v>27</v>
      </c>
      <c r="J12" s="2" t="s">
        <v>68</v>
      </c>
      <c r="K12" s="2" t="s">
        <v>29</v>
      </c>
      <c r="L12" s="2" t="s">
        <v>75</v>
      </c>
      <c r="M12" s="2" t="s">
        <v>31</v>
      </c>
      <c r="N12" s="2" t="s">
        <v>77</v>
      </c>
      <c r="O12" s="22" t="s">
        <v>71</v>
      </c>
      <c r="P12" s="22" t="s">
        <v>78</v>
      </c>
    </row>
    <row r="13" spans="1:16" ht="36">
      <c r="A13" s="4" t="s">
        <v>79</v>
      </c>
      <c r="B13" s="2" t="s">
        <v>80</v>
      </c>
      <c r="C13" s="2" t="s">
        <v>81</v>
      </c>
      <c r="D13" s="2" t="s">
        <v>82</v>
      </c>
      <c r="E13" s="2" t="s">
        <v>23</v>
      </c>
      <c r="F13" s="2" t="s">
        <v>83</v>
      </c>
      <c r="G13" s="2" t="s">
        <v>23</v>
      </c>
      <c r="H13" s="2" t="s">
        <v>84</v>
      </c>
      <c r="I13" s="2" t="s">
        <v>27</v>
      </c>
      <c r="J13" s="2" t="s">
        <v>28</v>
      </c>
      <c r="K13" s="2" t="s">
        <v>48</v>
      </c>
      <c r="L13" s="2" t="s">
        <v>46</v>
      </c>
      <c r="M13" s="2" t="s">
        <v>31</v>
      </c>
      <c r="N13" s="2" t="s">
        <v>85</v>
      </c>
      <c r="O13" s="22" t="s">
        <v>34</v>
      </c>
      <c r="P13" s="22" t="s">
        <v>34</v>
      </c>
    </row>
    <row r="14" spans="1:16" ht="60">
      <c r="A14" s="4" t="s">
        <v>79</v>
      </c>
      <c r="B14" s="2" t="s">
        <v>86</v>
      </c>
      <c r="C14" s="2" t="s">
        <v>87</v>
      </c>
      <c r="D14" s="2" t="s">
        <v>82</v>
      </c>
      <c r="E14" s="2" t="s">
        <v>23</v>
      </c>
      <c r="F14" s="2" t="s">
        <v>88</v>
      </c>
      <c r="G14" s="2" t="s">
        <v>23</v>
      </c>
      <c r="H14" s="2" t="s">
        <v>84</v>
      </c>
      <c r="I14" s="2" t="s">
        <v>27</v>
      </c>
      <c r="J14" s="2" t="s">
        <v>28</v>
      </c>
      <c r="K14" s="2" t="s">
        <v>48</v>
      </c>
      <c r="L14" s="2" t="s">
        <v>46</v>
      </c>
      <c r="M14" s="2" t="s">
        <v>31</v>
      </c>
      <c r="N14" s="2" t="s">
        <v>89</v>
      </c>
      <c r="O14" s="22" t="s">
        <v>34</v>
      </c>
      <c r="P14" s="22" t="s">
        <v>34</v>
      </c>
    </row>
    <row r="15" spans="1:16" ht="72">
      <c r="A15" s="4" t="s">
        <v>79</v>
      </c>
      <c r="B15" s="2" t="s">
        <v>90</v>
      </c>
      <c r="C15" s="2" t="s">
        <v>91</v>
      </c>
      <c r="D15" s="2" t="s">
        <v>82</v>
      </c>
      <c r="E15" s="2" t="s">
        <v>23</v>
      </c>
      <c r="F15" s="2" t="s">
        <v>92</v>
      </c>
      <c r="G15" s="2" t="s">
        <v>23</v>
      </c>
      <c r="H15" s="2" t="s">
        <v>93</v>
      </c>
      <c r="I15" s="2" t="s">
        <v>27</v>
      </c>
      <c r="J15" s="2" t="s">
        <v>28</v>
      </c>
      <c r="K15" s="2" t="s">
        <v>48</v>
      </c>
      <c r="L15" s="2" t="s">
        <v>46</v>
      </c>
      <c r="M15" s="2" t="s">
        <v>31</v>
      </c>
      <c r="N15" s="2" t="s">
        <v>94</v>
      </c>
      <c r="O15" s="22" t="s">
        <v>34</v>
      </c>
      <c r="P15" s="22" t="s">
        <v>34</v>
      </c>
    </row>
    <row r="16" spans="1:16" ht="36">
      <c r="A16" s="4" t="s">
        <v>79</v>
      </c>
      <c r="B16" s="2" t="s">
        <v>95</v>
      </c>
      <c r="C16" s="2" t="s">
        <v>96</v>
      </c>
      <c r="D16" s="2" t="s">
        <v>82</v>
      </c>
      <c r="E16" s="2" t="s">
        <v>23</v>
      </c>
      <c r="F16" s="2" t="s">
        <v>97</v>
      </c>
      <c r="G16" s="2" t="s">
        <v>23</v>
      </c>
      <c r="H16" s="2" t="s">
        <v>93</v>
      </c>
      <c r="I16" s="2" t="s">
        <v>27</v>
      </c>
      <c r="J16" s="2" t="s">
        <v>28</v>
      </c>
      <c r="K16" s="2" t="s">
        <v>48</v>
      </c>
      <c r="L16" s="2" t="s">
        <v>46</v>
      </c>
      <c r="M16" s="2" t="s">
        <v>31</v>
      </c>
      <c r="N16" s="2" t="s">
        <v>98</v>
      </c>
      <c r="O16" s="22" t="s">
        <v>34</v>
      </c>
      <c r="P16" s="22" t="s">
        <v>34</v>
      </c>
    </row>
    <row r="17" spans="1:16" ht="36">
      <c r="A17" s="4" t="s">
        <v>79</v>
      </c>
      <c r="B17" s="2" t="s">
        <v>99</v>
      </c>
      <c r="C17" s="2" t="s">
        <v>100</v>
      </c>
      <c r="D17" s="2" t="s">
        <v>82</v>
      </c>
      <c r="E17" s="2" t="s">
        <v>23</v>
      </c>
      <c r="F17" s="2" t="s">
        <v>101</v>
      </c>
      <c r="G17" s="2" t="s">
        <v>23</v>
      </c>
      <c r="H17" s="2" t="s">
        <v>93</v>
      </c>
      <c r="I17" s="2" t="s">
        <v>27</v>
      </c>
      <c r="J17" s="2" t="s">
        <v>28</v>
      </c>
      <c r="K17" s="2" t="s">
        <v>48</v>
      </c>
      <c r="L17" s="2" t="s">
        <v>46</v>
      </c>
      <c r="M17" s="2" t="s">
        <v>31</v>
      </c>
      <c r="N17" s="2" t="s">
        <v>102</v>
      </c>
      <c r="O17" s="22" t="s">
        <v>34</v>
      </c>
      <c r="P17" s="22" t="s">
        <v>34</v>
      </c>
    </row>
    <row r="18" spans="1:16" ht="48">
      <c r="A18" s="4" t="s">
        <v>79</v>
      </c>
      <c r="B18" s="2" t="s">
        <v>103</v>
      </c>
      <c r="C18" s="2" t="s">
        <v>104</v>
      </c>
      <c r="D18" s="2" t="s">
        <v>82</v>
      </c>
      <c r="E18" s="2" t="s">
        <v>23</v>
      </c>
      <c r="F18" s="2" t="s">
        <v>105</v>
      </c>
      <c r="G18" s="2" t="s">
        <v>23</v>
      </c>
      <c r="H18" s="2" t="s">
        <v>106</v>
      </c>
      <c r="I18" s="2" t="s">
        <v>27</v>
      </c>
      <c r="J18" s="2" t="s">
        <v>28</v>
      </c>
      <c r="K18" s="2" t="s">
        <v>48</v>
      </c>
      <c r="L18" s="2" t="s">
        <v>46</v>
      </c>
      <c r="M18" s="2" t="s">
        <v>31</v>
      </c>
      <c r="N18" s="2" t="s">
        <v>107</v>
      </c>
      <c r="O18" s="22" t="s">
        <v>34</v>
      </c>
      <c r="P18" s="22" t="s">
        <v>78</v>
      </c>
    </row>
    <row r="19" spans="1:16" ht="36">
      <c r="A19" s="4" t="s">
        <v>79</v>
      </c>
      <c r="B19" s="2" t="s">
        <v>108</v>
      </c>
      <c r="C19" s="2" t="s">
        <v>109</v>
      </c>
      <c r="D19" s="2" t="s">
        <v>82</v>
      </c>
      <c r="E19" s="2" t="s">
        <v>23</v>
      </c>
      <c r="F19" s="2" t="s">
        <v>110</v>
      </c>
      <c r="G19" s="2" t="s">
        <v>23</v>
      </c>
      <c r="H19" s="2" t="s">
        <v>111</v>
      </c>
      <c r="I19" s="2" t="s">
        <v>27</v>
      </c>
      <c r="J19" s="2" t="s">
        <v>28</v>
      </c>
      <c r="K19" s="2" t="s">
        <v>48</v>
      </c>
      <c r="L19" s="2" t="s">
        <v>46</v>
      </c>
      <c r="M19" s="2" t="s">
        <v>31</v>
      </c>
      <c r="N19" s="2" t="s">
        <v>112</v>
      </c>
      <c r="O19" s="22" t="s">
        <v>34</v>
      </c>
      <c r="P19" s="22" t="s">
        <v>63</v>
      </c>
    </row>
    <row r="20" spans="1:16" ht="36">
      <c r="A20" s="4" t="s">
        <v>79</v>
      </c>
      <c r="B20" s="2" t="s">
        <v>113</v>
      </c>
      <c r="C20" s="2" t="s">
        <v>114</v>
      </c>
      <c r="D20" s="2" t="s">
        <v>52</v>
      </c>
      <c r="E20" s="2" t="s">
        <v>23</v>
      </c>
      <c r="F20" s="2" t="s">
        <v>115</v>
      </c>
      <c r="G20" s="2" t="s">
        <v>25</v>
      </c>
      <c r="H20" s="2" t="s">
        <v>38</v>
      </c>
      <c r="I20" s="2" t="s">
        <v>67</v>
      </c>
      <c r="J20" s="2" t="s">
        <v>68</v>
      </c>
      <c r="K20" s="2" t="s">
        <v>54</v>
      </c>
      <c r="L20" s="2" t="s">
        <v>52</v>
      </c>
      <c r="M20" s="2" t="s">
        <v>69</v>
      </c>
      <c r="N20" s="2" t="s">
        <v>116</v>
      </c>
      <c r="O20" s="22" t="s">
        <v>117</v>
      </c>
      <c r="P20" s="22" t="s">
        <v>72</v>
      </c>
    </row>
    <row r="21" spans="1:16" ht="48">
      <c r="A21" s="4" t="s">
        <v>79</v>
      </c>
      <c r="B21" s="2" t="s">
        <v>118</v>
      </c>
      <c r="C21" s="2" t="s">
        <v>119</v>
      </c>
      <c r="D21" s="2" t="s">
        <v>120</v>
      </c>
      <c r="E21" s="2" t="s">
        <v>23</v>
      </c>
      <c r="F21" s="2" t="s">
        <v>106</v>
      </c>
      <c r="G21" s="2" t="s">
        <v>23</v>
      </c>
      <c r="H21" s="2" t="s">
        <v>121</v>
      </c>
      <c r="I21" s="2" t="s">
        <v>27</v>
      </c>
      <c r="J21" s="2" t="s">
        <v>28</v>
      </c>
      <c r="K21" s="2" t="s">
        <v>48</v>
      </c>
      <c r="L21" s="2" t="s">
        <v>120</v>
      </c>
      <c r="M21" s="2" t="s">
        <v>31</v>
      </c>
      <c r="N21" s="2" t="s">
        <v>122</v>
      </c>
      <c r="O21" s="22" t="s">
        <v>78</v>
      </c>
      <c r="P21" s="22" t="s">
        <v>123</v>
      </c>
    </row>
    <row r="22" spans="1:16" ht="72">
      <c r="A22" s="4" t="s">
        <v>79</v>
      </c>
      <c r="B22" s="2" t="s">
        <v>124</v>
      </c>
      <c r="C22" s="2" t="s">
        <v>125</v>
      </c>
      <c r="D22" s="2" t="s">
        <v>126</v>
      </c>
      <c r="E22" s="2" t="s">
        <v>23</v>
      </c>
      <c r="F22" s="2" t="s">
        <v>127</v>
      </c>
      <c r="G22" s="2" t="s">
        <v>23</v>
      </c>
      <c r="H22" s="2" t="s">
        <v>93</v>
      </c>
      <c r="I22" s="2" t="s">
        <v>27</v>
      </c>
      <c r="J22" s="2" t="s">
        <v>28</v>
      </c>
      <c r="K22" s="2" t="s">
        <v>48</v>
      </c>
      <c r="L22" s="2" t="s">
        <v>46</v>
      </c>
      <c r="M22" s="2" t="s">
        <v>31</v>
      </c>
      <c r="N22" s="2" t="s">
        <v>128</v>
      </c>
      <c r="O22" s="22" t="s">
        <v>123</v>
      </c>
      <c r="P22" s="22" t="s">
        <v>129</v>
      </c>
    </row>
    <row r="23" spans="1:16" ht="24">
      <c r="A23" s="4" t="s">
        <v>79</v>
      </c>
      <c r="B23" s="2" t="s">
        <v>130</v>
      </c>
      <c r="C23" s="2" t="s">
        <v>131</v>
      </c>
      <c r="D23" s="2" t="s">
        <v>46</v>
      </c>
      <c r="E23" s="2" t="s">
        <v>23</v>
      </c>
      <c r="F23" s="2" t="s">
        <v>132</v>
      </c>
      <c r="G23" s="2" t="s">
        <v>23</v>
      </c>
      <c r="H23" s="2" t="s">
        <v>93</v>
      </c>
      <c r="I23" s="2" t="s">
        <v>27</v>
      </c>
      <c r="J23" s="2" t="s">
        <v>68</v>
      </c>
      <c r="K23" s="2" t="s">
        <v>48</v>
      </c>
      <c r="L23" s="2" t="s">
        <v>133</v>
      </c>
      <c r="M23" s="2" t="s">
        <v>31</v>
      </c>
      <c r="N23" s="2" t="s">
        <v>134</v>
      </c>
      <c r="O23" s="22" t="s">
        <v>135</v>
      </c>
      <c r="P23" s="22" t="s">
        <v>135</v>
      </c>
    </row>
    <row r="24" spans="1:16" ht="60">
      <c r="A24" s="5" t="s">
        <v>136</v>
      </c>
      <c r="B24" s="2" t="s">
        <v>137</v>
      </c>
      <c r="C24" s="2" t="s">
        <v>138</v>
      </c>
      <c r="D24" s="2" t="s">
        <v>139</v>
      </c>
      <c r="E24" s="2" t="s">
        <v>23</v>
      </c>
      <c r="F24" s="2" t="s">
        <v>140</v>
      </c>
      <c r="G24" s="2" t="s">
        <v>23</v>
      </c>
      <c r="H24" s="2" t="s">
        <v>141</v>
      </c>
      <c r="I24" s="2" t="s">
        <v>27</v>
      </c>
      <c r="J24" s="2" t="s">
        <v>28</v>
      </c>
      <c r="K24" s="2" t="s">
        <v>48</v>
      </c>
      <c r="L24" s="2" t="s">
        <v>142</v>
      </c>
      <c r="M24" s="2" t="s">
        <v>31</v>
      </c>
      <c r="N24" s="2" t="s">
        <v>143</v>
      </c>
      <c r="O24" s="22" t="s">
        <v>34</v>
      </c>
      <c r="P24" s="22" t="s">
        <v>34</v>
      </c>
    </row>
    <row r="25" spans="1:16" ht="48">
      <c r="A25" s="5" t="s">
        <v>136</v>
      </c>
      <c r="B25" s="2" t="s">
        <v>144</v>
      </c>
      <c r="C25" s="2" t="s">
        <v>145</v>
      </c>
      <c r="D25" s="2" t="s">
        <v>139</v>
      </c>
      <c r="E25" s="2" t="s">
        <v>23</v>
      </c>
      <c r="F25" s="2" t="s">
        <v>146</v>
      </c>
      <c r="G25" s="2" t="s">
        <v>23</v>
      </c>
      <c r="H25" s="2" t="s">
        <v>141</v>
      </c>
      <c r="I25" s="2" t="s">
        <v>27</v>
      </c>
      <c r="J25" s="2" t="s">
        <v>28</v>
      </c>
      <c r="K25" s="2" t="s">
        <v>54</v>
      </c>
      <c r="L25" s="2" t="s">
        <v>46</v>
      </c>
      <c r="M25" s="2" t="s">
        <v>31</v>
      </c>
      <c r="N25" s="2" t="s">
        <v>147</v>
      </c>
      <c r="O25" s="22" t="s">
        <v>34</v>
      </c>
      <c r="P25" s="22" t="s">
        <v>71</v>
      </c>
    </row>
    <row r="26" spans="1:16" ht="48">
      <c r="A26" s="5" t="s">
        <v>136</v>
      </c>
      <c r="B26" s="2" t="s">
        <v>148</v>
      </c>
      <c r="C26" s="2" t="s">
        <v>149</v>
      </c>
      <c r="D26" s="2" t="s">
        <v>139</v>
      </c>
      <c r="E26" s="2" t="s">
        <v>23</v>
      </c>
      <c r="F26" s="2" t="s">
        <v>150</v>
      </c>
      <c r="G26" s="2" t="s">
        <v>23</v>
      </c>
      <c r="H26" s="2" t="s">
        <v>141</v>
      </c>
      <c r="I26" s="2" t="s">
        <v>27</v>
      </c>
      <c r="J26" s="2" t="s">
        <v>28</v>
      </c>
      <c r="K26" s="2" t="s">
        <v>54</v>
      </c>
      <c r="L26" s="2" t="s">
        <v>46</v>
      </c>
      <c r="M26" s="2" t="s">
        <v>31</v>
      </c>
      <c r="N26" s="2" t="s">
        <v>151</v>
      </c>
      <c r="O26" s="22" t="s">
        <v>34</v>
      </c>
      <c r="P26" s="22" t="s">
        <v>71</v>
      </c>
    </row>
    <row r="27" spans="1:16" ht="48">
      <c r="A27" s="5" t="s">
        <v>136</v>
      </c>
      <c r="B27" s="2" t="s">
        <v>152</v>
      </c>
      <c r="C27" s="2" t="s">
        <v>153</v>
      </c>
      <c r="D27" s="2" t="s">
        <v>139</v>
      </c>
      <c r="E27" s="2" t="s">
        <v>23</v>
      </c>
      <c r="F27" s="2" t="s">
        <v>154</v>
      </c>
      <c r="G27" s="2" t="s">
        <v>23</v>
      </c>
      <c r="H27" s="2" t="s">
        <v>141</v>
      </c>
      <c r="I27" s="2" t="s">
        <v>27</v>
      </c>
      <c r="J27" s="2" t="s">
        <v>28</v>
      </c>
      <c r="K27" s="2" t="s">
        <v>54</v>
      </c>
      <c r="L27" s="2" t="s">
        <v>46</v>
      </c>
      <c r="M27" s="2" t="s">
        <v>31</v>
      </c>
      <c r="N27" s="2" t="s">
        <v>155</v>
      </c>
      <c r="O27" s="22" t="s">
        <v>34</v>
      </c>
      <c r="P27" s="22" t="s">
        <v>71</v>
      </c>
    </row>
    <row r="28" spans="1:16" ht="72">
      <c r="A28" s="5" t="s">
        <v>136</v>
      </c>
      <c r="B28" s="2" t="s">
        <v>156</v>
      </c>
      <c r="C28" s="2" t="s">
        <v>157</v>
      </c>
      <c r="D28" s="2" t="s">
        <v>139</v>
      </c>
      <c r="E28" s="2" t="s">
        <v>23</v>
      </c>
      <c r="F28" s="2" t="s">
        <v>158</v>
      </c>
      <c r="G28" s="2" t="s">
        <v>25</v>
      </c>
      <c r="H28" s="2" t="s">
        <v>38</v>
      </c>
      <c r="I28" s="2" t="s">
        <v>67</v>
      </c>
      <c r="J28" s="2" t="s">
        <v>28</v>
      </c>
      <c r="K28" s="2" t="s">
        <v>54</v>
      </c>
      <c r="L28" s="2" t="s">
        <v>52</v>
      </c>
      <c r="M28" s="2" t="s">
        <v>69</v>
      </c>
      <c r="N28" s="2" t="s">
        <v>159</v>
      </c>
      <c r="O28" s="22" t="s">
        <v>117</v>
      </c>
      <c r="P28" s="22" t="s">
        <v>72</v>
      </c>
    </row>
    <row r="29" spans="1:16" ht="60">
      <c r="A29" s="5" t="s">
        <v>136</v>
      </c>
      <c r="B29" s="2" t="s">
        <v>160</v>
      </c>
      <c r="C29" s="2" t="s">
        <v>161</v>
      </c>
      <c r="D29" s="2" t="s">
        <v>139</v>
      </c>
      <c r="E29" s="2" t="s">
        <v>23</v>
      </c>
      <c r="F29" s="2" t="s">
        <v>162</v>
      </c>
      <c r="G29" s="2" t="s">
        <v>23</v>
      </c>
      <c r="H29" s="2" t="s">
        <v>163</v>
      </c>
      <c r="I29" s="2" t="s">
        <v>27</v>
      </c>
      <c r="J29" s="2" t="s">
        <v>28</v>
      </c>
      <c r="K29" s="2" t="s">
        <v>48</v>
      </c>
      <c r="L29" s="2" t="s">
        <v>46</v>
      </c>
      <c r="M29" s="2" t="s">
        <v>31</v>
      </c>
      <c r="N29" s="2" t="s">
        <v>164</v>
      </c>
      <c r="O29" s="22" t="s">
        <v>34</v>
      </c>
      <c r="P29" s="22" t="s">
        <v>165</v>
      </c>
    </row>
    <row r="30" spans="1:16" ht="36">
      <c r="A30" s="5" t="s">
        <v>136</v>
      </c>
      <c r="B30" s="2" t="s">
        <v>166</v>
      </c>
      <c r="C30" s="2" t="s">
        <v>167</v>
      </c>
      <c r="D30" s="2" t="s">
        <v>139</v>
      </c>
      <c r="E30" s="2" t="s">
        <v>25</v>
      </c>
      <c r="F30" s="2" t="s">
        <v>168</v>
      </c>
      <c r="G30" s="2" t="s">
        <v>25</v>
      </c>
      <c r="H30" s="2" t="s">
        <v>26</v>
      </c>
      <c r="I30" s="2" t="s">
        <v>72</v>
      </c>
      <c r="J30" s="2" t="s">
        <v>68</v>
      </c>
      <c r="K30" s="2" t="s">
        <v>54</v>
      </c>
      <c r="L30" s="2" t="s">
        <v>46</v>
      </c>
      <c r="M30" s="2" t="s">
        <v>69</v>
      </c>
      <c r="N30" s="2" t="s">
        <v>169</v>
      </c>
      <c r="O30" s="22" t="s">
        <v>170</v>
      </c>
      <c r="P30" s="22" t="s">
        <v>72</v>
      </c>
    </row>
    <row r="31" spans="1:16" ht="24">
      <c r="A31" s="5" t="s">
        <v>136</v>
      </c>
      <c r="B31" s="2" t="s">
        <v>171</v>
      </c>
      <c r="C31" s="2" t="s">
        <v>172</v>
      </c>
      <c r="D31" s="2" t="s">
        <v>139</v>
      </c>
      <c r="E31" s="2" t="s">
        <v>23</v>
      </c>
      <c r="F31" s="2" t="s">
        <v>173</v>
      </c>
      <c r="G31" s="2" t="s">
        <v>23</v>
      </c>
      <c r="H31" s="2" t="s">
        <v>141</v>
      </c>
      <c r="I31" s="2" t="s">
        <v>27</v>
      </c>
      <c r="J31" s="2" t="s">
        <v>68</v>
      </c>
      <c r="K31" s="2" t="s">
        <v>48</v>
      </c>
      <c r="L31" s="2" t="s">
        <v>46</v>
      </c>
      <c r="M31" s="2" t="s">
        <v>31</v>
      </c>
      <c r="N31" s="2" t="s">
        <v>174</v>
      </c>
      <c r="O31" s="22" t="s">
        <v>71</v>
      </c>
      <c r="P31" s="22" t="s">
        <v>71</v>
      </c>
    </row>
    <row r="32" spans="1:16" ht="36">
      <c r="A32" s="5" t="s">
        <v>136</v>
      </c>
      <c r="B32" s="2" t="s">
        <v>175</v>
      </c>
      <c r="C32" s="2" t="s">
        <v>176</v>
      </c>
      <c r="D32" s="2" t="s">
        <v>120</v>
      </c>
      <c r="E32" s="2" t="s">
        <v>23</v>
      </c>
      <c r="F32" s="2" t="s">
        <v>163</v>
      </c>
      <c r="G32" s="2" t="s">
        <v>23</v>
      </c>
      <c r="H32" s="2" t="s">
        <v>177</v>
      </c>
      <c r="I32" s="2" t="s">
        <v>27</v>
      </c>
      <c r="J32" s="2" t="s">
        <v>28</v>
      </c>
      <c r="K32" s="2" t="s">
        <v>29</v>
      </c>
      <c r="L32" s="2" t="s">
        <v>120</v>
      </c>
      <c r="M32" s="2" t="s">
        <v>31</v>
      </c>
      <c r="N32" s="2" t="s">
        <v>178</v>
      </c>
      <c r="O32" s="22" t="s">
        <v>71</v>
      </c>
      <c r="P32" s="22" t="s">
        <v>165</v>
      </c>
    </row>
    <row r="33" spans="1:16" ht="132">
      <c r="A33" s="5" t="s">
        <v>136</v>
      </c>
      <c r="B33" s="2" t="s">
        <v>179</v>
      </c>
      <c r="C33" s="2" t="s">
        <v>180</v>
      </c>
      <c r="D33" s="2" t="s">
        <v>181</v>
      </c>
      <c r="E33" s="2" t="s">
        <v>23</v>
      </c>
      <c r="F33" s="2" t="s">
        <v>182</v>
      </c>
      <c r="G33" s="2" t="s">
        <v>23</v>
      </c>
      <c r="H33" s="2" t="s">
        <v>183</v>
      </c>
      <c r="I33" s="2" t="s">
        <v>27</v>
      </c>
      <c r="J33" s="2" t="s">
        <v>28</v>
      </c>
      <c r="K33" s="2" t="s">
        <v>48</v>
      </c>
      <c r="L33" s="2" t="s">
        <v>46</v>
      </c>
      <c r="M33" s="2" t="s">
        <v>31</v>
      </c>
      <c r="N33" s="2" t="s">
        <v>184</v>
      </c>
      <c r="O33" s="22" t="s">
        <v>185</v>
      </c>
      <c r="P33" s="22" t="s">
        <v>185</v>
      </c>
    </row>
    <row r="34" spans="1:16" ht="108">
      <c r="A34" s="6" t="s">
        <v>186</v>
      </c>
      <c r="B34" s="2" t="s">
        <v>187</v>
      </c>
      <c r="C34" s="2" t="s">
        <v>188</v>
      </c>
      <c r="D34" s="2" t="s">
        <v>189</v>
      </c>
      <c r="E34" s="2" t="s">
        <v>23</v>
      </c>
      <c r="F34" s="2" t="s">
        <v>190</v>
      </c>
      <c r="G34" s="2" t="s">
        <v>23</v>
      </c>
      <c r="H34" s="2" t="s">
        <v>191</v>
      </c>
      <c r="I34" s="2" t="s">
        <v>27</v>
      </c>
      <c r="J34" s="2" t="s">
        <v>28</v>
      </c>
      <c r="K34" s="2" t="s">
        <v>48</v>
      </c>
      <c r="L34" s="2" t="s">
        <v>142</v>
      </c>
      <c r="M34" s="2" t="s">
        <v>31</v>
      </c>
      <c r="N34" s="2" t="s">
        <v>192</v>
      </c>
      <c r="O34" s="22" t="s">
        <v>193</v>
      </c>
      <c r="P34" s="22" t="s">
        <v>193</v>
      </c>
    </row>
    <row r="35" spans="1:16" ht="48">
      <c r="A35" s="6" t="s">
        <v>186</v>
      </c>
      <c r="B35" s="2" t="s">
        <v>194</v>
      </c>
      <c r="C35" s="2" t="s">
        <v>195</v>
      </c>
      <c r="D35" s="2" t="s">
        <v>189</v>
      </c>
      <c r="E35" s="2" t="s">
        <v>23</v>
      </c>
      <c r="F35" s="2" t="s">
        <v>196</v>
      </c>
      <c r="G35" s="2" t="s">
        <v>23</v>
      </c>
      <c r="H35" s="2" t="s">
        <v>197</v>
      </c>
      <c r="I35" s="2" t="s">
        <v>27</v>
      </c>
      <c r="J35" s="2" t="s">
        <v>28</v>
      </c>
      <c r="K35" s="2" t="s">
        <v>48</v>
      </c>
      <c r="L35" s="2" t="s">
        <v>142</v>
      </c>
      <c r="M35" s="2" t="s">
        <v>31</v>
      </c>
      <c r="N35" s="2" t="s">
        <v>198</v>
      </c>
      <c r="O35" s="22" t="s">
        <v>193</v>
      </c>
      <c r="P35" s="22" t="s">
        <v>165</v>
      </c>
    </row>
    <row r="36" spans="1:16" ht="84">
      <c r="A36" s="6" t="s">
        <v>186</v>
      </c>
      <c r="B36" s="2" t="s">
        <v>199</v>
      </c>
      <c r="C36" s="2" t="s">
        <v>200</v>
      </c>
      <c r="D36" s="2" t="s">
        <v>189</v>
      </c>
      <c r="E36" s="2" t="s">
        <v>23</v>
      </c>
      <c r="F36" s="2" t="s">
        <v>201</v>
      </c>
      <c r="G36" s="2" t="s">
        <v>23</v>
      </c>
      <c r="H36" s="2" t="s">
        <v>202</v>
      </c>
      <c r="I36" s="2" t="s">
        <v>27</v>
      </c>
      <c r="J36" s="2" t="s">
        <v>28</v>
      </c>
      <c r="K36" s="2" t="s">
        <v>48</v>
      </c>
      <c r="L36" s="2" t="s">
        <v>142</v>
      </c>
      <c r="M36" s="2" t="s">
        <v>31</v>
      </c>
      <c r="N36" s="2" t="s">
        <v>203</v>
      </c>
      <c r="O36" s="22" t="s">
        <v>193</v>
      </c>
      <c r="P36" s="22" t="s">
        <v>165</v>
      </c>
    </row>
    <row r="37" spans="1:16" ht="60">
      <c r="A37" s="6" t="s">
        <v>186</v>
      </c>
      <c r="B37" s="2" t="s">
        <v>204</v>
      </c>
      <c r="C37" s="2" t="s">
        <v>205</v>
      </c>
      <c r="D37" s="2" t="s">
        <v>189</v>
      </c>
      <c r="E37" s="2" t="s">
        <v>23</v>
      </c>
      <c r="F37" s="2" t="s">
        <v>206</v>
      </c>
      <c r="G37" s="2" t="s">
        <v>23</v>
      </c>
      <c r="H37" s="2" t="s">
        <v>191</v>
      </c>
      <c r="I37" s="2" t="s">
        <v>27</v>
      </c>
      <c r="J37" s="2" t="s">
        <v>28</v>
      </c>
      <c r="K37" s="2" t="s">
        <v>48</v>
      </c>
      <c r="L37" s="2" t="s">
        <v>142</v>
      </c>
      <c r="M37" s="2" t="s">
        <v>31</v>
      </c>
      <c r="N37" s="2" t="s">
        <v>207</v>
      </c>
      <c r="O37" s="22" t="s">
        <v>193</v>
      </c>
      <c r="P37" s="22" t="s">
        <v>193</v>
      </c>
    </row>
    <row r="38" spans="1:16" ht="96">
      <c r="A38" s="6" t="s">
        <v>186</v>
      </c>
      <c r="B38" s="2" t="s">
        <v>208</v>
      </c>
      <c r="C38" s="2" t="s">
        <v>209</v>
      </c>
      <c r="D38" s="2" t="s">
        <v>189</v>
      </c>
      <c r="E38" s="2" t="s">
        <v>23</v>
      </c>
      <c r="F38" s="2" t="s">
        <v>210</v>
      </c>
      <c r="G38" s="2" t="s">
        <v>23</v>
      </c>
      <c r="H38" s="2" t="s">
        <v>191</v>
      </c>
      <c r="I38" s="2" t="s">
        <v>27</v>
      </c>
      <c r="J38" s="2" t="s">
        <v>28</v>
      </c>
      <c r="K38" s="2" t="s">
        <v>48</v>
      </c>
      <c r="L38" s="2" t="s">
        <v>46</v>
      </c>
      <c r="M38" s="2" t="s">
        <v>31</v>
      </c>
      <c r="N38" s="2" t="s">
        <v>211</v>
      </c>
      <c r="O38" s="22" t="s">
        <v>193</v>
      </c>
      <c r="P38" s="22" t="s">
        <v>212</v>
      </c>
    </row>
    <row r="39" spans="1:16" ht="72">
      <c r="A39" s="6" t="s">
        <v>186</v>
      </c>
      <c r="B39" s="2" t="s">
        <v>213</v>
      </c>
      <c r="C39" s="2" t="s">
        <v>214</v>
      </c>
      <c r="D39" s="2" t="s">
        <v>189</v>
      </c>
      <c r="E39" s="2" t="s">
        <v>23</v>
      </c>
      <c r="F39" s="2" t="s">
        <v>215</v>
      </c>
      <c r="G39" s="2" t="s">
        <v>23</v>
      </c>
      <c r="H39" s="2" t="s">
        <v>216</v>
      </c>
      <c r="I39" s="2" t="s">
        <v>27</v>
      </c>
      <c r="J39" s="2" t="s">
        <v>28</v>
      </c>
      <c r="K39" s="2" t="s">
        <v>48</v>
      </c>
      <c r="L39" s="2" t="s">
        <v>46</v>
      </c>
      <c r="M39" s="2" t="s">
        <v>31</v>
      </c>
      <c r="N39" s="2" t="s">
        <v>217</v>
      </c>
      <c r="O39" s="22" t="s">
        <v>193</v>
      </c>
      <c r="P39" s="22" t="s">
        <v>212</v>
      </c>
    </row>
    <row r="40" spans="1:16" ht="48">
      <c r="A40" s="6" t="s">
        <v>186</v>
      </c>
      <c r="B40" s="2" t="s">
        <v>218</v>
      </c>
      <c r="C40" s="2" t="s">
        <v>219</v>
      </c>
      <c r="D40" s="2" t="s">
        <v>189</v>
      </c>
      <c r="E40" s="2" t="s">
        <v>23</v>
      </c>
      <c r="F40" s="2" t="s">
        <v>220</v>
      </c>
      <c r="G40" s="2" t="s">
        <v>23</v>
      </c>
      <c r="H40" s="2" t="s">
        <v>216</v>
      </c>
      <c r="I40" s="2" t="s">
        <v>27</v>
      </c>
      <c r="J40" s="2" t="s">
        <v>28</v>
      </c>
      <c r="K40" s="2" t="s">
        <v>48</v>
      </c>
      <c r="L40" s="2" t="s">
        <v>46</v>
      </c>
      <c r="M40" s="2" t="s">
        <v>31</v>
      </c>
      <c r="N40" s="2" t="s">
        <v>221</v>
      </c>
      <c r="O40" s="22" t="s">
        <v>193</v>
      </c>
      <c r="P40" s="22" t="s">
        <v>212</v>
      </c>
    </row>
    <row r="41" spans="1:16" ht="96">
      <c r="A41" s="6" t="s">
        <v>186</v>
      </c>
      <c r="B41" s="2" t="s">
        <v>222</v>
      </c>
      <c r="C41" s="2" t="s">
        <v>223</v>
      </c>
      <c r="D41" s="2" t="s">
        <v>189</v>
      </c>
      <c r="E41" s="2" t="s">
        <v>23</v>
      </c>
      <c r="F41" s="2" t="s">
        <v>224</v>
      </c>
      <c r="G41" s="2" t="s">
        <v>23</v>
      </c>
      <c r="H41" s="2" t="s">
        <v>191</v>
      </c>
      <c r="I41" s="2" t="s">
        <v>27</v>
      </c>
      <c r="J41" s="2" t="s">
        <v>28</v>
      </c>
      <c r="K41" s="2" t="s">
        <v>54</v>
      </c>
      <c r="L41" s="2" t="s">
        <v>46</v>
      </c>
      <c r="M41" s="2" t="s">
        <v>31</v>
      </c>
      <c r="N41" s="2" t="s">
        <v>225</v>
      </c>
      <c r="O41" s="22" t="s">
        <v>193</v>
      </c>
      <c r="P41" s="22" t="s">
        <v>212</v>
      </c>
    </row>
    <row r="42" spans="1:16" ht="60">
      <c r="A42" s="6" t="s">
        <v>186</v>
      </c>
      <c r="B42" s="2" t="s">
        <v>226</v>
      </c>
      <c r="C42" s="2" t="s">
        <v>227</v>
      </c>
      <c r="D42" s="2" t="s">
        <v>189</v>
      </c>
      <c r="E42" s="2" t="s">
        <v>23</v>
      </c>
      <c r="F42" s="2" t="s">
        <v>228</v>
      </c>
      <c r="G42" s="2" t="s">
        <v>23</v>
      </c>
      <c r="H42" s="2" t="s">
        <v>229</v>
      </c>
      <c r="I42" s="2" t="s">
        <v>27</v>
      </c>
      <c r="J42" s="2" t="s">
        <v>28</v>
      </c>
      <c r="K42" s="2" t="s">
        <v>48</v>
      </c>
      <c r="L42" s="2" t="s">
        <v>46</v>
      </c>
      <c r="M42" s="2" t="s">
        <v>31</v>
      </c>
      <c r="N42" s="2" t="s">
        <v>230</v>
      </c>
      <c r="O42" s="22" t="s">
        <v>212</v>
      </c>
      <c r="P42" s="22" t="s">
        <v>212</v>
      </c>
    </row>
    <row r="43" spans="1:16" ht="48">
      <c r="A43" s="6" t="s">
        <v>186</v>
      </c>
      <c r="B43" s="2" t="s">
        <v>231</v>
      </c>
      <c r="C43" s="2" t="s">
        <v>232</v>
      </c>
      <c r="D43" s="2" t="s">
        <v>189</v>
      </c>
      <c r="E43" s="2" t="s">
        <v>23</v>
      </c>
      <c r="F43" s="2" t="s">
        <v>233</v>
      </c>
      <c r="G43" s="2" t="s">
        <v>23</v>
      </c>
      <c r="H43" s="2" t="s">
        <v>191</v>
      </c>
      <c r="I43" s="2" t="s">
        <v>27</v>
      </c>
      <c r="J43" s="2" t="s">
        <v>28</v>
      </c>
      <c r="K43" s="2" t="s">
        <v>48</v>
      </c>
      <c r="L43" s="2" t="s">
        <v>234</v>
      </c>
      <c r="M43" s="2" t="s">
        <v>31</v>
      </c>
      <c r="N43" s="2" t="s">
        <v>235</v>
      </c>
      <c r="O43" s="22" t="s">
        <v>193</v>
      </c>
      <c r="P43" s="22" t="s">
        <v>165</v>
      </c>
    </row>
    <row r="44" spans="1:16" ht="48">
      <c r="A44" s="6" t="s">
        <v>186</v>
      </c>
      <c r="B44" s="2" t="s">
        <v>236</v>
      </c>
      <c r="C44" s="2" t="s">
        <v>237</v>
      </c>
      <c r="D44" s="2" t="s">
        <v>189</v>
      </c>
      <c r="E44" s="2" t="s">
        <v>23</v>
      </c>
      <c r="F44" s="2" t="s">
        <v>238</v>
      </c>
      <c r="G44" s="2" t="s">
        <v>23</v>
      </c>
      <c r="H44" s="2" t="s">
        <v>197</v>
      </c>
      <c r="I44" s="2" t="s">
        <v>27</v>
      </c>
      <c r="J44" s="2" t="s">
        <v>28</v>
      </c>
      <c r="K44" s="2" t="s">
        <v>48</v>
      </c>
      <c r="L44" s="2" t="s">
        <v>46</v>
      </c>
      <c r="M44" s="2" t="s">
        <v>31</v>
      </c>
      <c r="N44" s="2" t="s">
        <v>239</v>
      </c>
      <c r="O44" s="22" t="s">
        <v>212</v>
      </c>
      <c r="P44" s="22" t="s">
        <v>165</v>
      </c>
    </row>
    <row r="45" spans="1:16" ht="36">
      <c r="A45" s="6" t="s">
        <v>186</v>
      </c>
      <c r="B45" s="2" t="s">
        <v>240</v>
      </c>
      <c r="C45" s="2" t="s">
        <v>241</v>
      </c>
      <c r="D45" s="2" t="s">
        <v>189</v>
      </c>
      <c r="E45" s="2" t="s">
        <v>23</v>
      </c>
      <c r="F45" s="2" t="s">
        <v>242</v>
      </c>
      <c r="G45" s="2" t="s">
        <v>23</v>
      </c>
      <c r="H45" s="2" t="s">
        <v>197</v>
      </c>
      <c r="I45" s="2" t="s">
        <v>27</v>
      </c>
      <c r="J45" s="2" t="s">
        <v>28</v>
      </c>
      <c r="K45" s="2" t="s">
        <v>48</v>
      </c>
      <c r="L45" s="2" t="s">
        <v>46</v>
      </c>
      <c r="M45" s="2" t="s">
        <v>31</v>
      </c>
      <c r="N45" s="2" t="s">
        <v>243</v>
      </c>
      <c r="O45" s="22" t="s">
        <v>212</v>
      </c>
      <c r="P45" s="22" t="s">
        <v>165</v>
      </c>
    </row>
    <row r="46" spans="1:16" ht="48">
      <c r="A46" s="6" t="s">
        <v>186</v>
      </c>
      <c r="B46" s="2" t="s">
        <v>244</v>
      </c>
      <c r="C46" s="2" t="s">
        <v>245</v>
      </c>
      <c r="D46" s="2" t="s">
        <v>189</v>
      </c>
      <c r="E46" s="2" t="s">
        <v>23</v>
      </c>
      <c r="F46" s="2" t="s">
        <v>246</v>
      </c>
      <c r="G46" s="2" t="s">
        <v>25</v>
      </c>
      <c r="H46" s="2" t="s">
        <v>38</v>
      </c>
      <c r="I46" s="2" t="s">
        <v>67</v>
      </c>
      <c r="J46" s="2" t="s">
        <v>28</v>
      </c>
      <c r="K46" s="2" t="s">
        <v>48</v>
      </c>
      <c r="L46" s="2" t="s">
        <v>46</v>
      </c>
      <c r="M46" s="2" t="s">
        <v>69</v>
      </c>
      <c r="N46" s="2" t="s">
        <v>247</v>
      </c>
      <c r="O46" s="22" t="s">
        <v>165</v>
      </c>
      <c r="P46" s="22" t="s">
        <v>72</v>
      </c>
    </row>
    <row r="47" spans="1:16" ht="48">
      <c r="A47" s="6" t="s">
        <v>186</v>
      </c>
      <c r="B47" s="2" t="s">
        <v>248</v>
      </c>
      <c r="C47" s="2" t="s">
        <v>249</v>
      </c>
      <c r="D47" s="2" t="s">
        <v>120</v>
      </c>
      <c r="E47" s="2" t="s">
        <v>23</v>
      </c>
      <c r="F47" s="2" t="s">
        <v>250</v>
      </c>
      <c r="G47" s="2" t="s">
        <v>23</v>
      </c>
      <c r="H47" s="2" t="s">
        <v>251</v>
      </c>
      <c r="I47" s="2" t="s">
        <v>27</v>
      </c>
      <c r="J47" s="2" t="s">
        <v>28</v>
      </c>
      <c r="K47" s="2" t="s">
        <v>29</v>
      </c>
      <c r="L47" s="2" t="s">
        <v>120</v>
      </c>
      <c r="M47" s="2" t="s">
        <v>31</v>
      </c>
      <c r="N47" s="2" t="s">
        <v>252</v>
      </c>
      <c r="O47" s="22" t="s">
        <v>212</v>
      </c>
      <c r="P47" s="22" t="s">
        <v>165</v>
      </c>
    </row>
    <row r="48" spans="1:16" ht="72">
      <c r="A48" s="6" t="s">
        <v>186</v>
      </c>
      <c r="B48" s="2" t="s">
        <v>253</v>
      </c>
      <c r="C48" s="2" t="s">
        <v>254</v>
      </c>
      <c r="D48" s="2" t="s">
        <v>189</v>
      </c>
      <c r="E48" s="2" t="s">
        <v>23</v>
      </c>
      <c r="F48" s="2" t="s">
        <v>255</v>
      </c>
      <c r="G48" s="2" t="s">
        <v>23</v>
      </c>
      <c r="H48" s="2" t="s">
        <v>191</v>
      </c>
      <c r="I48" s="2" t="s">
        <v>27</v>
      </c>
      <c r="J48" s="2" t="s">
        <v>28</v>
      </c>
      <c r="K48" s="2" t="s">
        <v>48</v>
      </c>
      <c r="L48" s="2" t="s">
        <v>46</v>
      </c>
      <c r="M48" s="2" t="s">
        <v>31</v>
      </c>
      <c r="N48" s="2" t="s">
        <v>256</v>
      </c>
      <c r="O48" s="22" t="s">
        <v>193</v>
      </c>
      <c r="P48" s="22" t="s">
        <v>165</v>
      </c>
    </row>
    <row r="49" spans="1:16" ht="48">
      <c r="A49" s="6" t="s">
        <v>186</v>
      </c>
      <c r="B49" s="2" t="s">
        <v>257</v>
      </c>
      <c r="C49" s="2" t="s">
        <v>258</v>
      </c>
      <c r="D49" s="2" t="s">
        <v>189</v>
      </c>
      <c r="E49" s="2" t="s">
        <v>23</v>
      </c>
      <c r="F49" s="2" t="s">
        <v>259</v>
      </c>
      <c r="G49" s="2" t="s">
        <v>23</v>
      </c>
      <c r="H49" s="2" t="s">
        <v>216</v>
      </c>
      <c r="I49" s="2" t="s">
        <v>27</v>
      </c>
      <c r="J49" s="2" t="s">
        <v>28</v>
      </c>
      <c r="K49" s="2" t="s">
        <v>48</v>
      </c>
      <c r="L49" s="2" t="s">
        <v>46</v>
      </c>
      <c r="M49" s="2" t="s">
        <v>31</v>
      </c>
      <c r="N49" s="2" t="s">
        <v>260</v>
      </c>
      <c r="O49" s="22" t="s">
        <v>212</v>
      </c>
      <c r="P49" s="22" t="s">
        <v>165</v>
      </c>
    </row>
    <row r="50" spans="1:16" ht="120">
      <c r="A50" s="6" t="s">
        <v>186</v>
      </c>
      <c r="B50" s="2" t="s">
        <v>261</v>
      </c>
      <c r="C50" s="2" t="s">
        <v>262</v>
      </c>
      <c r="D50" s="2" t="s">
        <v>189</v>
      </c>
      <c r="E50" s="2" t="s">
        <v>23</v>
      </c>
      <c r="F50" s="2" t="s">
        <v>263</v>
      </c>
      <c r="G50" s="2" t="s">
        <v>23</v>
      </c>
      <c r="H50" s="2" t="s">
        <v>264</v>
      </c>
      <c r="I50" s="2" t="s">
        <v>27</v>
      </c>
      <c r="J50" s="2" t="s">
        <v>28</v>
      </c>
      <c r="K50" s="2" t="s">
        <v>48</v>
      </c>
      <c r="L50" s="2" t="s">
        <v>46</v>
      </c>
      <c r="M50" s="2" t="s">
        <v>31</v>
      </c>
      <c r="N50" s="2" t="s">
        <v>265</v>
      </c>
      <c r="O50" s="22" t="s">
        <v>135</v>
      </c>
      <c r="P50" s="22" t="s">
        <v>135</v>
      </c>
    </row>
    <row r="51" spans="1:16" ht="96">
      <c r="A51" s="6" t="s">
        <v>186</v>
      </c>
      <c r="B51" s="2" t="s">
        <v>266</v>
      </c>
      <c r="C51" s="2" t="s">
        <v>267</v>
      </c>
      <c r="D51" s="2" t="s">
        <v>189</v>
      </c>
      <c r="E51" s="2" t="s">
        <v>23</v>
      </c>
      <c r="F51" s="2" t="s">
        <v>268</v>
      </c>
      <c r="G51" s="2" t="s">
        <v>23</v>
      </c>
      <c r="H51" s="2" t="s">
        <v>269</v>
      </c>
      <c r="I51" s="2" t="s">
        <v>27</v>
      </c>
      <c r="J51" s="2" t="s">
        <v>28</v>
      </c>
      <c r="K51" s="2" t="s">
        <v>48</v>
      </c>
      <c r="L51" s="2" t="s">
        <v>46</v>
      </c>
      <c r="M51" s="2" t="s">
        <v>31</v>
      </c>
      <c r="N51" s="2" t="s">
        <v>270</v>
      </c>
      <c r="O51" s="22" t="s">
        <v>135</v>
      </c>
      <c r="P51" s="22" t="s">
        <v>135</v>
      </c>
    </row>
    <row r="52" spans="1:16" ht="108">
      <c r="A52" s="6" t="s">
        <v>186</v>
      </c>
      <c r="B52" s="2" t="s">
        <v>271</v>
      </c>
      <c r="C52" s="2" t="s">
        <v>272</v>
      </c>
      <c r="D52" s="2" t="s">
        <v>189</v>
      </c>
      <c r="E52" s="2" t="s">
        <v>23</v>
      </c>
      <c r="F52" s="2" t="s">
        <v>273</v>
      </c>
      <c r="G52" s="2" t="s">
        <v>23</v>
      </c>
      <c r="H52" s="2" t="s">
        <v>274</v>
      </c>
      <c r="I52" s="2" t="s">
        <v>27</v>
      </c>
      <c r="J52" s="2" t="s">
        <v>28</v>
      </c>
      <c r="K52" s="2" t="s">
        <v>48</v>
      </c>
      <c r="L52" s="2" t="s">
        <v>46</v>
      </c>
      <c r="M52" s="2" t="s">
        <v>31</v>
      </c>
      <c r="N52" s="2" t="s">
        <v>275</v>
      </c>
      <c r="O52" s="22" t="s">
        <v>135</v>
      </c>
      <c r="P52" s="22" t="s">
        <v>135</v>
      </c>
    </row>
    <row r="53" spans="1:16" ht="84">
      <c r="A53" s="7" t="s">
        <v>276</v>
      </c>
      <c r="B53" s="2" t="s">
        <v>277</v>
      </c>
      <c r="C53" s="2" t="s">
        <v>278</v>
      </c>
      <c r="D53" s="2" t="s">
        <v>279</v>
      </c>
      <c r="E53" s="2" t="s">
        <v>23</v>
      </c>
      <c r="F53" s="2" t="s">
        <v>280</v>
      </c>
      <c r="G53" s="2" t="s">
        <v>23</v>
      </c>
      <c r="H53" s="2" t="s">
        <v>281</v>
      </c>
      <c r="I53" s="2" t="s">
        <v>27</v>
      </c>
      <c r="J53" s="2" t="s">
        <v>28</v>
      </c>
      <c r="K53" s="2" t="s">
        <v>48</v>
      </c>
      <c r="L53" s="2" t="s">
        <v>142</v>
      </c>
      <c r="M53" s="2" t="s">
        <v>31</v>
      </c>
      <c r="N53" s="2" t="s">
        <v>282</v>
      </c>
      <c r="O53" s="22" t="s">
        <v>34</v>
      </c>
      <c r="P53" s="22" t="s">
        <v>135</v>
      </c>
    </row>
    <row r="54" spans="1:16" ht="48">
      <c r="A54" s="7" t="s">
        <v>276</v>
      </c>
      <c r="B54" s="2" t="s">
        <v>283</v>
      </c>
      <c r="C54" s="2" t="s">
        <v>284</v>
      </c>
      <c r="D54" s="2" t="s">
        <v>279</v>
      </c>
      <c r="E54" s="2" t="s">
        <v>23</v>
      </c>
      <c r="F54" s="2" t="s">
        <v>285</v>
      </c>
      <c r="G54" s="2" t="s">
        <v>23</v>
      </c>
      <c r="H54" s="2" t="s">
        <v>281</v>
      </c>
      <c r="I54" s="2" t="s">
        <v>27</v>
      </c>
      <c r="J54" s="2" t="s">
        <v>28</v>
      </c>
      <c r="K54" s="2" t="s">
        <v>54</v>
      </c>
      <c r="L54" s="2" t="s">
        <v>46</v>
      </c>
      <c r="M54" s="2" t="s">
        <v>31</v>
      </c>
      <c r="N54" s="2" t="s">
        <v>286</v>
      </c>
      <c r="O54" s="22" t="s">
        <v>34</v>
      </c>
      <c r="P54" s="22" t="s">
        <v>71</v>
      </c>
    </row>
    <row r="55" spans="1:16" ht="96">
      <c r="A55" s="7" t="s">
        <v>276</v>
      </c>
      <c r="B55" s="2" t="s">
        <v>287</v>
      </c>
      <c r="C55" s="2" t="s">
        <v>288</v>
      </c>
      <c r="D55" s="2" t="s">
        <v>279</v>
      </c>
      <c r="E55" s="2" t="s">
        <v>23</v>
      </c>
      <c r="F55" s="2" t="s">
        <v>289</v>
      </c>
      <c r="G55" s="2" t="s">
        <v>23</v>
      </c>
      <c r="H55" s="2" t="s">
        <v>290</v>
      </c>
      <c r="I55" s="2" t="s">
        <v>27</v>
      </c>
      <c r="J55" s="2" t="s">
        <v>28</v>
      </c>
      <c r="K55" s="2" t="s">
        <v>54</v>
      </c>
      <c r="L55" s="2" t="s">
        <v>46</v>
      </c>
      <c r="M55" s="2" t="s">
        <v>31</v>
      </c>
      <c r="N55" s="2" t="s">
        <v>291</v>
      </c>
      <c r="O55" s="22" t="s">
        <v>71</v>
      </c>
      <c r="P55" s="22" t="s">
        <v>135</v>
      </c>
    </row>
    <row r="56" spans="1:16" ht="60">
      <c r="A56" s="7" t="s">
        <v>276</v>
      </c>
      <c r="B56" s="2" t="s">
        <v>292</v>
      </c>
      <c r="C56" s="2" t="s">
        <v>293</v>
      </c>
      <c r="D56" s="2" t="s">
        <v>279</v>
      </c>
      <c r="E56" s="2" t="s">
        <v>23</v>
      </c>
      <c r="F56" s="2" t="s">
        <v>294</v>
      </c>
      <c r="G56" s="2" t="s">
        <v>23</v>
      </c>
      <c r="H56" s="2" t="s">
        <v>295</v>
      </c>
      <c r="I56" s="2" t="s">
        <v>27</v>
      </c>
      <c r="J56" s="2" t="s">
        <v>28</v>
      </c>
      <c r="K56" s="2" t="s">
        <v>48</v>
      </c>
      <c r="L56" s="2" t="s">
        <v>46</v>
      </c>
      <c r="M56" s="2" t="s">
        <v>31</v>
      </c>
      <c r="N56" s="2" t="s">
        <v>296</v>
      </c>
      <c r="O56" s="22" t="s">
        <v>297</v>
      </c>
      <c r="P56" s="22" t="s">
        <v>135</v>
      </c>
    </row>
    <row r="57" spans="1:16" ht="72">
      <c r="A57" s="7" t="s">
        <v>276</v>
      </c>
      <c r="B57" s="2" t="s">
        <v>298</v>
      </c>
      <c r="C57" s="2" t="s">
        <v>299</v>
      </c>
      <c r="D57" s="2" t="s">
        <v>279</v>
      </c>
      <c r="E57" s="2" t="s">
        <v>23</v>
      </c>
      <c r="F57" s="2" t="s">
        <v>300</v>
      </c>
      <c r="G57" s="2" t="s">
        <v>23</v>
      </c>
      <c r="H57" s="2" t="s">
        <v>301</v>
      </c>
      <c r="I57" s="2" t="s">
        <v>27</v>
      </c>
      <c r="J57" s="2" t="s">
        <v>28</v>
      </c>
      <c r="K57" s="2" t="s">
        <v>48</v>
      </c>
      <c r="L57" s="2" t="s">
        <v>46</v>
      </c>
      <c r="M57" s="2" t="s">
        <v>31</v>
      </c>
      <c r="N57" s="2" t="s">
        <v>302</v>
      </c>
      <c r="O57" s="22" t="s">
        <v>297</v>
      </c>
      <c r="P57" s="22" t="s">
        <v>135</v>
      </c>
    </row>
    <row r="58" spans="1:16" ht="48">
      <c r="A58" s="7" t="s">
        <v>276</v>
      </c>
      <c r="B58" s="2" t="s">
        <v>303</v>
      </c>
      <c r="C58" s="2" t="s">
        <v>304</v>
      </c>
      <c r="D58" s="2" t="s">
        <v>279</v>
      </c>
      <c r="E58" s="2" t="s">
        <v>23</v>
      </c>
      <c r="F58" s="2" t="s">
        <v>305</v>
      </c>
      <c r="G58" s="2" t="s">
        <v>23</v>
      </c>
      <c r="H58" s="2" t="s">
        <v>306</v>
      </c>
      <c r="I58" s="2" t="s">
        <v>27</v>
      </c>
      <c r="J58" s="2" t="s">
        <v>28</v>
      </c>
      <c r="K58" s="2" t="s">
        <v>48</v>
      </c>
      <c r="L58" s="2" t="s">
        <v>46</v>
      </c>
      <c r="M58" s="2" t="s">
        <v>31</v>
      </c>
      <c r="N58" s="2" t="s">
        <v>307</v>
      </c>
      <c r="O58" s="22" t="s">
        <v>297</v>
      </c>
      <c r="P58" s="22" t="s">
        <v>135</v>
      </c>
    </row>
    <row r="59" spans="1:16" ht="24">
      <c r="A59" s="7" t="s">
        <v>276</v>
      </c>
      <c r="B59" s="2" t="s">
        <v>308</v>
      </c>
      <c r="C59" s="2" t="s">
        <v>309</v>
      </c>
      <c r="D59" s="2" t="s">
        <v>279</v>
      </c>
      <c r="E59" s="2" t="s">
        <v>23</v>
      </c>
      <c r="F59" s="2" t="s">
        <v>310</v>
      </c>
      <c r="G59" s="2" t="s">
        <v>23</v>
      </c>
      <c r="H59" s="2" t="s">
        <v>311</v>
      </c>
      <c r="I59" s="2" t="s">
        <v>27</v>
      </c>
      <c r="J59" s="2" t="s">
        <v>68</v>
      </c>
      <c r="K59" s="2" t="s">
        <v>48</v>
      </c>
      <c r="L59" s="2" t="s">
        <v>46</v>
      </c>
      <c r="M59" s="2" t="s">
        <v>31</v>
      </c>
      <c r="N59" s="2" t="s">
        <v>312</v>
      </c>
      <c r="O59" s="22" t="s">
        <v>297</v>
      </c>
      <c r="P59" s="22" t="s">
        <v>135</v>
      </c>
    </row>
    <row r="60" spans="1:16" ht="72">
      <c r="A60" s="7" t="s">
        <v>276</v>
      </c>
      <c r="B60" s="2" t="s">
        <v>313</v>
      </c>
      <c r="C60" s="2" t="s">
        <v>314</v>
      </c>
      <c r="D60" s="2" t="s">
        <v>279</v>
      </c>
      <c r="E60" s="2" t="s">
        <v>23</v>
      </c>
      <c r="F60" s="2" t="s">
        <v>315</v>
      </c>
      <c r="G60" s="2" t="s">
        <v>23</v>
      </c>
      <c r="H60" s="2" t="s">
        <v>316</v>
      </c>
      <c r="I60" s="2" t="s">
        <v>27</v>
      </c>
      <c r="J60" s="2" t="s">
        <v>28</v>
      </c>
      <c r="K60" s="2" t="s">
        <v>48</v>
      </c>
      <c r="L60" s="2" t="s">
        <v>46</v>
      </c>
      <c r="M60" s="2" t="s">
        <v>31</v>
      </c>
      <c r="N60" s="2" t="s">
        <v>317</v>
      </c>
      <c r="O60" s="22" t="s">
        <v>297</v>
      </c>
      <c r="P60" s="22" t="s">
        <v>135</v>
      </c>
    </row>
    <row r="61" spans="1:16" ht="48">
      <c r="A61" s="7" t="s">
        <v>276</v>
      </c>
      <c r="B61" s="2" t="s">
        <v>318</v>
      </c>
      <c r="C61" s="2" t="s">
        <v>319</v>
      </c>
      <c r="D61" s="2" t="s">
        <v>279</v>
      </c>
      <c r="E61" s="2" t="s">
        <v>23</v>
      </c>
      <c r="F61" s="2" t="s">
        <v>320</v>
      </c>
      <c r="G61" s="2" t="s">
        <v>23</v>
      </c>
      <c r="H61" s="2" t="s">
        <v>301</v>
      </c>
      <c r="I61" s="2" t="s">
        <v>27</v>
      </c>
      <c r="J61" s="2" t="s">
        <v>28</v>
      </c>
      <c r="K61" s="2" t="s">
        <v>48</v>
      </c>
      <c r="L61" s="2" t="s">
        <v>46</v>
      </c>
      <c r="M61" s="2" t="s">
        <v>31</v>
      </c>
      <c r="N61" s="2" t="s">
        <v>321</v>
      </c>
      <c r="O61" s="22" t="s">
        <v>297</v>
      </c>
      <c r="P61" s="22" t="s">
        <v>135</v>
      </c>
    </row>
    <row r="62" spans="1:16" ht="24">
      <c r="A62" s="7" t="s">
        <v>276</v>
      </c>
      <c r="B62" s="2" t="s">
        <v>322</v>
      </c>
      <c r="C62" s="2" t="s">
        <v>323</v>
      </c>
      <c r="D62" s="2" t="s">
        <v>279</v>
      </c>
      <c r="E62" s="2" t="s">
        <v>23</v>
      </c>
      <c r="F62" s="2" t="s">
        <v>324</v>
      </c>
      <c r="G62" s="2" t="s">
        <v>23</v>
      </c>
      <c r="H62" s="2" t="s">
        <v>295</v>
      </c>
      <c r="I62" s="2" t="s">
        <v>67</v>
      </c>
      <c r="J62" s="2" t="s">
        <v>68</v>
      </c>
      <c r="K62" s="2" t="s">
        <v>48</v>
      </c>
      <c r="L62" s="2" t="s">
        <v>46</v>
      </c>
      <c r="M62" s="2" t="s">
        <v>31</v>
      </c>
      <c r="N62" s="2" t="s">
        <v>325</v>
      </c>
      <c r="O62" s="22" t="s">
        <v>135</v>
      </c>
      <c r="P62" s="22" t="s">
        <v>72</v>
      </c>
    </row>
    <row r="63" spans="1:16" ht="24">
      <c r="A63" s="7" t="s">
        <v>276</v>
      </c>
      <c r="B63" s="2" t="s">
        <v>326</v>
      </c>
      <c r="C63" s="2" t="s">
        <v>327</v>
      </c>
      <c r="D63" s="2" t="s">
        <v>279</v>
      </c>
      <c r="E63" s="2" t="s">
        <v>23</v>
      </c>
      <c r="F63" s="2" t="s">
        <v>328</v>
      </c>
      <c r="G63" s="2" t="s">
        <v>25</v>
      </c>
      <c r="H63" s="2" t="s">
        <v>38</v>
      </c>
      <c r="I63" s="2" t="s">
        <v>67</v>
      </c>
      <c r="J63" s="2" t="s">
        <v>68</v>
      </c>
      <c r="K63" s="2" t="s">
        <v>48</v>
      </c>
      <c r="L63" s="2" t="s">
        <v>133</v>
      </c>
      <c r="M63" s="2" t="s">
        <v>69</v>
      </c>
      <c r="N63" s="2" t="s">
        <v>329</v>
      </c>
      <c r="O63" s="22" t="s">
        <v>330</v>
      </c>
      <c r="P63" s="22" t="s">
        <v>72</v>
      </c>
    </row>
    <row r="64" spans="1:16" ht="24">
      <c r="A64" s="7" t="s">
        <v>276</v>
      </c>
      <c r="B64" s="2" t="s">
        <v>331</v>
      </c>
      <c r="C64" s="2" t="s">
        <v>332</v>
      </c>
      <c r="D64" s="2" t="s">
        <v>279</v>
      </c>
      <c r="E64" s="2" t="s">
        <v>23</v>
      </c>
      <c r="F64" s="2" t="s">
        <v>333</v>
      </c>
      <c r="G64" s="2" t="s">
        <v>23</v>
      </c>
      <c r="H64" s="2" t="s">
        <v>334</v>
      </c>
      <c r="I64" s="2" t="s">
        <v>67</v>
      </c>
      <c r="J64" s="2" t="s">
        <v>68</v>
      </c>
      <c r="K64" s="2" t="s">
        <v>48</v>
      </c>
      <c r="L64" s="2" t="s">
        <v>46</v>
      </c>
      <c r="M64" s="2" t="s">
        <v>69</v>
      </c>
      <c r="N64" s="2" t="s">
        <v>335</v>
      </c>
      <c r="O64" s="22" t="s">
        <v>78</v>
      </c>
      <c r="P64" s="22" t="s">
        <v>72</v>
      </c>
    </row>
    <row r="65" spans="1:16" ht="72">
      <c r="A65" s="7" t="s">
        <v>276</v>
      </c>
      <c r="B65" s="2" t="s">
        <v>336</v>
      </c>
      <c r="C65" s="2" t="s">
        <v>337</v>
      </c>
      <c r="D65" s="2" t="s">
        <v>120</v>
      </c>
      <c r="E65" s="2" t="s">
        <v>23</v>
      </c>
      <c r="F65" s="2" t="s">
        <v>338</v>
      </c>
      <c r="G65" s="2" t="s">
        <v>23</v>
      </c>
      <c r="H65" s="2" t="s">
        <v>339</v>
      </c>
      <c r="I65" s="2" t="s">
        <v>27</v>
      </c>
      <c r="J65" s="2" t="s">
        <v>28</v>
      </c>
      <c r="K65" s="2" t="s">
        <v>29</v>
      </c>
      <c r="L65" s="2" t="s">
        <v>120</v>
      </c>
      <c r="M65" s="2" t="s">
        <v>31</v>
      </c>
      <c r="N65" s="2" t="s">
        <v>340</v>
      </c>
      <c r="O65" s="22" t="s">
        <v>297</v>
      </c>
      <c r="P65" s="22" t="s">
        <v>135</v>
      </c>
    </row>
    <row r="66" spans="1:16" ht="36">
      <c r="A66" s="7" t="s">
        <v>276</v>
      </c>
      <c r="B66" s="2" t="s">
        <v>341</v>
      </c>
      <c r="C66" s="2" t="s">
        <v>342</v>
      </c>
      <c r="D66" s="2" t="s">
        <v>52</v>
      </c>
      <c r="E66" s="2" t="s">
        <v>23</v>
      </c>
      <c r="F66" s="2" t="s">
        <v>343</v>
      </c>
      <c r="G66" s="2" t="s">
        <v>23</v>
      </c>
      <c r="H66" s="2" t="s">
        <v>344</v>
      </c>
      <c r="I66" s="2" t="s">
        <v>27</v>
      </c>
      <c r="J66" s="2" t="s">
        <v>28</v>
      </c>
      <c r="K66" s="2" t="s">
        <v>54</v>
      </c>
      <c r="L66" s="2" t="s">
        <v>52</v>
      </c>
      <c r="M66" s="2" t="s">
        <v>31</v>
      </c>
      <c r="N66" s="2" t="s">
        <v>345</v>
      </c>
      <c r="O66" s="22" t="s">
        <v>297</v>
      </c>
      <c r="P66" s="22" t="s">
        <v>63</v>
      </c>
    </row>
    <row r="67" spans="1:16" ht="96">
      <c r="A67" s="7" t="s">
        <v>276</v>
      </c>
      <c r="B67" s="2" t="s">
        <v>346</v>
      </c>
      <c r="C67" s="2" t="s">
        <v>347</v>
      </c>
      <c r="D67" s="2" t="s">
        <v>348</v>
      </c>
      <c r="E67" s="2" t="s">
        <v>23</v>
      </c>
      <c r="F67" s="2" t="s">
        <v>349</v>
      </c>
      <c r="G67" s="2" t="s">
        <v>23</v>
      </c>
      <c r="H67" s="2" t="s">
        <v>350</v>
      </c>
      <c r="I67" s="2" t="s">
        <v>27</v>
      </c>
      <c r="J67" s="2" t="s">
        <v>28</v>
      </c>
      <c r="K67" s="2" t="s">
        <v>48</v>
      </c>
      <c r="L67" s="2" t="s">
        <v>46</v>
      </c>
      <c r="M67" s="2" t="s">
        <v>31</v>
      </c>
      <c r="N67" s="2" t="s">
        <v>351</v>
      </c>
      <c r="O67" s="22" t="s">
        <v>297</v>
      </c>
      <c r="P67" s="22" t="s">
        <v>135</v>
      </c>
    </row>
    <row r="68" spans="1:16" ht="96">
      <c r="A68" s="7" t="s">
        <v>276</v>
      </c>
      <c r="B68" s="2" t="s">
        <v>352</v>
      </c>
      <c r="C68" s="2" t="s">
        <v>353</v>
      </c>
      <c r="D68" s="2" t="s">
        <v>348</v>
      </c>
      <c r="E68" s="2" t="s">
        <v>23</v>
      </c>
      <c r="F68" s="2" t="s">
        <v>354</v>
      </c>
      <c r="G68" s="2" t="s">
        <v>23</v>
      </c>
      <c r="H68" s="2" t="s">
        <v>355</v>
      </c>
      <c r="I68" s="2" t="s">
        <v>27</v>
      </c>
      <c r="J68" s="2" t="s">
        <v>28</v>
      </c>
      <c r="K68" s="2" t="s">
        <v>48</v>
      </c>
      <c r="L68" s="2" t="s">
        <v>46</v>
      </c>
      <c r="M68" s="2" t="s">
        <v>31</v>
      </c>
      <c r="N68" s="2" t="s">
        <v>356</v>
      </c>
      <c r="O68" s="22" t="s">
        <v>135</v>
      </c>
      <c r="P68" s="22" t="s">
        <v>185</v>
      </c>
    </row>
    <row r="69" spans="1:16" ht="24">
      <c r="A69" s="8" t="s">
        <v>357</v>
      </c>
      <c r="B69" s="2" t="s">
        <v>358</v>
      </c>
      <c r="C69" s="2" t="s">
        <v>359</v>
      </c>
      <c r="D69" s="2" t="s">
        <v>360</v>
      </c>
      <c r="E69" s="2" t="s">
        <v>23</v>
      </c>
      <c r="F69" s="2" t="s">
        <v>361</v>
      </c>
      <c r="G69" s="2" t="s">
        <v>25</v>
      </c>
      <c r="H69" s="2" t="s">
        <v>26</v>
      </c>
      <c r="I69" s="2" t="s">
        <v>27</v>
      </c>
      <c r="J69" s="2" t="s">
        <v>28</v>
      </c>
      <c r="K69" s="2" t="s">
        <v>48</v>
      </c>
      <c r="L69" s="2" t="s">
        <v>46</v>
      </c>
      <c r="M69" s="2" t="s">
        <v>31</v>
      </c>
      <c r="N69" s="2" t="s">
        <v>362</v>
      </c>
      <c r="O69" s="22" t="s">
        <v>34</v>
      </c>
      <c r="P69" s="22" t="s">
        <v>34</v>
      </c>
    </row>
    <row r="70" spans="1:16" ht="72">
      <c r="A70" s="8" t="s">
        <v>357</v>
      </c>
      <c r="B70" s="2" t="s">
        <v>363</v>
      </c>
      <c r="C70" s="2" t="s">
        <v>364</v>
      </c>
      <c r="D70" s="2" t="s">
        <v>360</v>
      </c>
      <c r="E70" s="2" t="s">
        <v>23</v>
      </c>
      <c r="F70" s="2" t="s">
        <v>365</v>
      </c>
      <c r="G70" s="2" t="s">
        <v>23</v>
      </c>
      <c r="H70" s="2" t="s">
        <v>366</v>
      </c>
      <c r="I70" s="2" t="s">
        <v>27</v>
      </c>
      <c r="J70" s="2" t="s">
        <v>28</v>
      </c>
      <c r="K70" s="2" t="s">
        <v>48</v>
      </c>
      <c r="L70" s="2" t="s">
        <v>46</v>
      </c>
      <c r="M70" s="2" t="s">
        <v>31</v>
      </c>
      <c r="N70" s="2" t="s">
        <v>367</v>
      </c>
      <c r="O70" s="22" t="s">
        <v>297</v>
      </c>
      <c r="P70" s="22" t="s">
        <v>135</v>
      </c>
    </row>
    <row r="71" spans="1:16" ht="24">
      <c r="A71" s="8" t="s">
        <v>357</v>
      </c>
      <c r="B71" s="2" t="s">
        <v>368</v>
      </c>
      <c r="C71" s="2" t="s">
        <v>369</v>
      </c>
      <c r="D71" s="2" t="s">
        <v>360</v>
      </c>
      <c r="E71" s="2" t="s">
        <v>25</v>
      </c>
      <c r="F71" s="2" t="s">
        <v>168</v>
      </c>
      <c r="G71" s="2" t="s">
        <v>25</v>
      </c>
      <c r="H71" s="2" t="s">
        <v>26</v>
      </c>
      <c r="I71" s="2" t="s">
        <v>72</v>
      </c>
      <c r="J71" s="2" t="s">
        <v>68</v>
      </c>
      <c r="K71" s="2" t="s">
        <v>54</v>
      </c>
      <c r="L71" s="2" t="s">
        <v>46</v>
      </c>
      <c r="M71" s="2" t="s">
        <v>69</v>
      </c>
      <c r="N71" s="2" t="s">
        <v>370</v>
      </c>
      <c r="O71" s="22" t="s">
        <v>170</v>
      </c>
      <c r="P71" s="22" t="s">
        <v>72</v>
      </c>
    </row>
    <row r="72" spans="1:16" ht="48">
      <c r="A72" s="8" t="s">
        <v>357</v>
      </c>
      <c r="B72" s="2" t="s">
        <v>371</v>
      </c>
      <c r="C72" s="2" t="s">
        <v>372</v>
      </c>
      <c r="D72" s="2" t="s">
        <v>360</v>
      </c>
      <c r="E72" s="2" t="s">
        <v>23</v>
      </c>
      <c r="F72" s="2" t="s">
        <v>373</v>
      </c>
      <c r="G72" s="2" t="s">
        <v>23</v>
      </c>
      <c r="H72" s="2" t="s">
        <v>374</v>
      </c>
      <c r="I72" s="2" t="s">
        <v>27</v>
      </c>
      <c r="J72" s="2" t="s">
        <v>28</v>
      </c>
      <c r="K72" s="2" t="s">
        <v>48</v>
      </c>
      <c r="L72" s="2" t="s">
        <v>46</v>
      </c>
      <c r="M72" s="2" t="s">
        <v>31</v>
      </c>
      <c r="N72" s="2" t="s">
        <v>375</v>
      </c>
      <c r="O72" s="22" t="s">
        <v>297</v>
      </c>
      <c r="P72" s="22" t="s">
        <v>135</v>
      </c>
    </row>
    <row r="73" spans="1:16" ht="36">
      <c r="A73" s="8" t="s">
        <v>357</v>
      </c>
      <c r="B73" s="2" t="s">
        <v>376</v>
      </c>
      <c r="C73" s="2" t="s">
        <v>377</v>
      </c>
      <c r="D73" s="2" t="s">
        <v>360</v>
      </c>
      <c r="E73" s="2" t="s">
        <v>23</v>
      </c>
      <c r="F73" s="2" t="s">
        <v>378</v>
      </c>
      <c r="G73" s="2" t="s">
        <v>26</v>
      </c>
      <c r="H73" s="2" t="s">
        <v>379</v>
      </c>
      <c r="I73" s="2" t="s">
        <v>380</v>
      </c>
      <c r="J73" s="2" t="s">
        <v>68</v>
      </c>
      <c r="K73" s="2" t="s">
        <v>48</v>
      </c>
      <c r="L73" s="2" t="s">
        <v>46</v>
      </c>
      <c r="M73" s="2" t="s">
        <v>31</v>
      </c>
      <c r="N73" s="2" t="s">
        <v>381</v>
      </c>
      <c r="O73" s="22" t="s">
        <v>170</v>
      </c>
      <c r="P73" s="22" t="s">
        <v>63</v>
      </c>
    </row>
    <row r="74" spans="1:16" ht="36">
      <c r="A74" s="8" t="s">
        <v>357</v>
      </c>
      <c r="B74" s="2" t="s">
        <v>382</v>
      </c>
      <c r="C74" s="2" t="s">
        <v>383</v>
      </c>
      <c r="D74" s="2" t="s">
        <v>360</v>
      </c>
      <c r="E74" s="2" t="s">
        <v>23</v>
      </c>
      <c r="F74" s="2" t="s">
        <v>384</v>
      </c>
      <c r="G74" s="2" t="s">
        <v>23</v>
      </c>
      <c r="H74" s="2" t="s">
        <v>374</v>
      </c>
      <c r="I74" s="2" t="s">
        <v>67</v>
      </c>
      <c r="J74" s="2" t="s">
        <v>68</v>
      </c>
      <c r="K74" s="2" t="s">
        <v>48</v>
      </c>
      <c r="L74" s="2" t="s">
        <v>46</v>
      </c>
      <c r="M74" s="2" t="s">
        <v>31</v>
      </c>
      <c r="N74" s="2" t="s">
        <v>385</v>
      </c>
      <c r="O74" s="22" t="s">
        <v>135</v>
      </c>
      <c r="P74" s="22" t="s">
        <v>72</v>
      </c>
    </row>
    <row r="75" spans="1:16" ht="24">
      <c r="A75" s="8" t="s">
        <v>357</v>
      </c>
      <c r="B75" s="2" t="s">
        <v>386</v>
      </c>
      <c r="C75" s="2" t="s">
        <v>387</v>
      </c>
      <c r="D75" s="2" t="s">
        <v>360</v>
      </c>
      <c r="E75" s="2" t="s">
        <v>23</v>
      </c>
      <c r="F75" s="2" t="s">
        <v>388</v>
      </c>
      <c r="G75" s="2" t="s">
        <v>23</v>
      </c>
      <c r="H75" s="2" t="s">
        <v>374</v>
      </c>
      <c r="I75" s="2" t="s">
        <v>67</v>
      </c>
      <c r="J75" s="2" t="s">
        <v>68</v>
      </c>
      <c r="K75" s="2" t="s">
        <v>48</v>
      </c>
      <c r="L75" s="2" t="s">
        <v>46</v>
      </c>
      <c r="M75" s="2" t="s">
        <v>31</v>
      </c>
      <c r="N75" s="2" t="s">
        <v>389</v>
      </c>
      <c r="O75" s="22" t="s">
        <v>135</v>
      </c>
      <c r="P75" s="22" t="s">
        <v>72</v>
      </c>
    </row>
    <row r="76" spans="1:16" ht="24">
      <c r="A76" s="8" t="s">
        <v>357</v>
      </c>
      <c r="B76" s="2" t="s">
        <v>390</v>
      </c>
      <c r="C76" s="2" t="s">
        <v>391</v>
      </c>
      <c r="D76" s="2" t="s">
        <v>360</v>
      </c>
      <c r="E76" s="2" t="s">
        <v>25</v>
      </c>
      <c r="F76" s="2" t="s">
        <v>38</v>
      </c>
      <c r="G76" s="2" t="s">
        <v>25</v>
      </c>
      <c r="H76" s="2" t="s">
        <v>26</v>
      </c>
      <c r="I76" s="2" t="s">
        <v>72</v>
      </c>
      <c r="J76" s="2" t="s">
        <v>68</v>
      </c>
      <c r="K76" s="2" t="s">
        <v>54</v>
      </c>
      <c r="L76" s="2" t="s">
        <v>52</v>
      </c>
      <c r="M76" s="2" t="s">
        <v>69</v>
      </c>
      <c r="N76" s="2" t="s">
        <v>392</v>
      </c>
      <c r="O76" s="22" t="s">
        <v>170</v>
      </c>
      <c r="P76" s="22" t="s">
        <v>72</v>
      </c>
    </row>
    <row r="77" spans="1:16" ht="24">
      <c r="A77" s="8" t="s">
        <v>357</v>
      </c>
      <c r="B77" s="2" t="s">
        <v>393</v>
      </c>
      <c r="C77" s="2" t="s">
        <v>394</v>
      </c>
      <c r="D77" s="2" t="s">
        <v>360</v>
      </c>
      <c r="E77" s="2" t="s">
        <v>23</v>
      </c>
      <c r="F77" s="2" t="s">
        <v>395</v>
      </c>
      <c r="G77" s="2" t="s">
        <v>23</v>
      </c>
      <c r="H77" s="2" t="s">
        <v>374</v>
      </c>
      <c r="I77" s="2" t="s">
        <v>67</v>
      </c>
      <c r="J77" s="2" t="s">
        <v>68</v>
      </c>
      <c r="K77" s="2" t="s">
        <v>48</v>
      </c>
      <c r="L77" s="2" t="s">
        <v>46</v>
      </c>
      <c r="M77" s="2" t="s">
        <v>31</v>
      </c>
      <c r="N77" s="2" t="s">
        <v>396</v>
      </c>
      <c r="O77" s="22" t="s">
        <v>135</v>
      </c>
      <c r="P77" s="22" t="s">
        <v>72</v>
      </c>
    </row>
    <row r="78" spans="1:16">
      <c r="A78" s="8" t="s">
        <v>357</v>
      </c>
      <c r="B78" s="2" t="s">
        <v>397</v>
      </c>
      <c r="C78" s="2" t="s">
        <v>398</v>
      </c>
      <c r="D78" s="2" t="s">
        <v>360</v>
      </c>
      <c r="E78" s="2" t="s">
        <v>25</v>
      </c>
      <c r="F78" s="2" t="s">
        <v>38</v>
      </c>
      <c r="G78" s="2" t="s">
        <v>25</v>
      </c>
      <c r="H78" s="2" t="s">
        <v>26</v>
      </c>
      <c r="I78" s="2" t="s">
        <v>72</v>
      </c>
      <c r="J78" s="2" t="s">
        <v>399</v>
      </c>
      <c r="K78" s="2" t="s">
        <v>48</v>
      </c>
      <c r="L78" s="2" t="s">
        <v>46</v>
      </c>
      <c r="M78" s="2" t="s">
        <v>31</v>
      </c>
      <c r="N78" s="2" t="s">
        <v>400</v>
      </c>
      <c r="O78" s="22" t="s">
        <v>170</v>
      </c>
      <c r="P78" s="22" t="s">
        <v>72</v>
      </c>
    </row>
    <row r="79" spans="1:16" ht="24">
      <c r="A79" s="8" t="s">
        <v>357</v>
      </c>
      <c r="B79" s="2" t="s">
        <v>401</v>
      </c>
      <c r="C79" s="2" t="s">
        <v>402</v>
      </c>
      <c r="D79" s="2" t="s">
        <v>120</v>
      </c>
      <c r="E79" s="2" t="s">
        <v>23</v>
      </c>
      <c r="F79" s="2" t="s">
        <v>374</v>
      </c>
      <c r="G79" s="2" t="s">
        <v>23</v>
      </c>
      <c r="H79" s="2" t="s">
        <v>403</v>
      </c>
      <c r="I79" s="2" t="s">
        <v>27</v>
      </c>
      <c r="J79" s="2" t="s">
        <v>28</v>
      </c>
      <c r="K79" s="2" t="s">
        <v>29</v>
      </c>
      <c r="L79" s="2" t="s">
        <v>120</v>
      </c>
      <c r="M79" s="2" t="s">
        <v>31</v>
      </c>
      <c r="N79" s="2" t="s">
        <v>404</v>
      </c>
      <c r="O79" s="22" t="s">
        <v>135</v>
      </c>
      <c r="P79" s="22" t="s">
        <v>135</v>
      </c>
    </row>
    <row r="80" spans="1:16" ht="36">
      <c r="A80" s="8" t="s">
        <v>357</v>
      </c>
      <c r="B80" s="2" t="s">
        <v>405</v>
      </c>
      <c r="C80" s="2" t="s">
        <v>406</v>
      </c>
      <c r="D80" s="2" t="s">
        <v>120</v>
      </c>
      <c r="E80" s="2" t="s">
        <v>23</v>
      </c>
      <c r="F80" s="2" t="s">
        <v>407</v>
      </c>
      <c r="G80" s="2" t="s">
        <v>23</v>
      </c>
      <c r="H80" s="2" t="s">
        <v>408</v>
      </c>
      <c r="I80" s="2" t="s">
        <v>27</v>
      </c>
      <c r="J80" s="2" t="s">
        <v>28</v>
      </c>
      <c r="K80" s="2" t="s">
        <v>29</v>
      </c>
      <c r="L80" s="2" t="s">
        <v>120</v>
      </c>
      <c r="M80" s="2" t="s">
        <v>31</v>
      </c>
      <c r="N80" s="2" t="s">
        <v>409</v>
      </c>
      <c r="O80" s="22" t="s">
        <v>170</v>
      </c>
      <c r="P80" s="22" t="s">
        <v>63</v>
      </c>
    </row>
    <row r="81" spans="1:16" ht="36">
      <c r="A81" s="8" t="s">
        <v>357</v>
      </c>
      <c r="B81" s="2" t="s">
        <v>410</v>
      </c>
      <c r="C81" s="2" t="s">
        <v>411</v>
      </c>
      <c r="D81" s="2" t="s">
        <v>120</v>
      </c>
      <c r="E81" s="2" t="s">
        <v>23</v>
      </c>
      <c r="F81" s="2" t="s">
        <v>407</v>
      </c>
      <c r="G81" s="2" t="s">
        <v>23</v>
      </c>
      <c r="H81" s="2" t="s">
        <v>408</v>
      </c>
      <c r="I81" s="2" t="s">
        <v>27</v>
      </c>
      <c r="J81" s="2" t="s">
        <v>28</v>
      </c>
      <c r="K81" s="2" t="s">
        <v>29</v>
      </c>
      <c r="L81" s="2" t="s">
        <v>120</v>
      </c>
      <c r="M81" s="2" t="s">
        <v>31</v>
      </c>
      <c r="N81" s="2" t="s">
        <v>412</v>
      </c>
      <c r="O81" s="22" t="s">
        <v>170</v>
      </c>
      <c r="P81" s="22" t="s">
        <v>63</v>
      </c>
    </row>
    <row r="82" spans="1:16" ht="72">
      <c r="A82" s="8" t="s">
        <v>357</v>
      </c>
      <c r="B82" s="2" t="s">
        <v>413</v>
      </c>
      <c r="C82" s="2" t="s">
        <v>414</v>
      </c>
      <c r="D82" s="2" t="s">
        <v>360</v>
      </c>
      <c r="E82" s="2" t="s">
        <v>23</v>
      </c>
      <c r="F82" s="2" t="s">
        <v>415</v>
      </c>
      <c r="G82" s="2" t="s">
        <v>23</v>
      </c>
      <c r="H82" s="2" t="s">
        <v>416</v>
      </c>
      <c r="I82" s="2" t="s">
        <v>27</v>
      </c>
      <c r="J82" s="2" t="s">
        <v>28</v>
      </c>
      <c r="K82" s="2" t="s">
        <v>48</v>
      </c>
      <c r="L82" s="2" t="s">
        <v>417</v>
      </c>
      <c r="M82" s="2" t="s">
        <v>31</v>
      </c>
      <c r="N82" s="2" t="s">
        <v>418</v>
      </c>
      <c r="O82" s="22" t="s">
        <v>135</v>
      </c>
      <c r="P82" s="22" t="s">
        <v>135</v>
      </c>
    </row>
    <row r="83" spans="1:16" ht="108">
      <c r="A83" s="9" t="s">
        <v>419</v>
      </c>
      <c r="B83" s="2" t="s">
        <v>420</v>
      </c>
      <c r="C83" s="2" t="s">
        <v>421</v>
      </c>
      <c r="D83" s="2" t="s">
        <v>422</v>
      </c>
      <c r="E83" s="2" t="s">
        <v>23</v>
      </c>
      <c r="F83" s="2" t="s">
        <v>423</v>
      </c>
      <c r="G83" s="2" t="s">
        <v>23</v>
      </c>
      <c r="H83" s="2" t="s">
        <v>424</v>
      </c>
      <c r="I83" s="2" t="s">
        <v>27</v>
      </c>
      <c r="J83" s="2" t="s">
        <v>28</v>
      </c>
      <c r="K83" s="2" t="s">
        <v>48</v>
      </c>
      <c r="L83" s="2" t="s">
        <v>142</v>
      </c>
      <c r="M83" s="2" t="s">
        <v>31</v>
      </c>
      <c r="N83" s="2" t="s">
        <v>425</v>
      </c>
      <c r="O83" s="22" t="s">
        <v>34</v>
      </c>
      <c r="P83" s="22" t="s">
        <v>165</v>
      </c>
    </row>
    <row r="84" spans="1:16" ht="48">
      <c r="A84" s="9" t="s">
        <v>419</v>
      </c>
      <c r="B84" s="2" t="s">
        <v>426</v>
      </c>
      <c r="C84" s="2" t="s">
        <v>427</v>
      </c>
      <c r="D84" s="2" t="s">
        <v>422</v>
      </c>
      <c r="E84" s="2" t="s">
        <v>23</v>
      </c>
      <c r="F84" s="2" t="s">
        <v>428</v>
      </c>
      <c r="G84" s="2" t="s">
        <v>23</v>
      </c>
      <c r="H84" s="2" t="s">
        <v>429</v>
      </c>
      <c r="I84" s="2" t="s">
        <v>27</v>
      </c>
      <c r="J84" s="2" t="s">
        <v>28</v>
      </c>
      <c r="K84" s="2" t="s">
        <v>54</v>
      </c>
      <c r="L84" s="2" t="s">
        <v>46</v>
      </c>
      <c r="M84" s="2" t="s">
        <v>31</v>
      </c>
      <c r="N84" s="2" t="s">
        <v>430</v>
      </c>
      <c r="O84" s="22" t="s">
        <v>165</v>
      </c>
      <c r="P84" s="22" t="s">
        <v>165</v>
      </c>
    </row>
    <row r="85" spans="1:16" ht="36">
      <c r="A85" s="9" t="s">
        <v>419</v>
      </c>
      <c r="B85" s="2" t="s">
        <v>431</v>
      </c>
      <c r="C85" s="2" t="s">
        <v>432</v>
      </c>
      <c r="D85" s="2" t="s">
        <v>422</v>
      </c>
      <c r="E85" s="2" t="s">
        <v>23</v>
      </c>
      <c r="F85" s="2" t="s">
        <v>433</v>
      </c>
      <c r="G85" s="2" t="s">
        <v>23</v>
      </c>
      <c r="H85" s="2" t="s">
        <v>429</v>
      </c>
      <c r="I85" s="2" t="s">
        <v>27</v>
      </c>
      <c r="J85" s="2" t="s">
        <v>28</v>
      </c>
      <c r="K85" s="2" t="s">
        <v>54</v>
      </c>
      <c r="L85" s="2" t="s">
        <v>46</v>
      </c>
      <c r="M85" s="2" t="s">
        <v>31</v>
      </c>
      <c r="N85" s="2" t="s">
        <v>434</v>
      </c>
      <c r="O85" s="22" t="s">
        <v>165</v>
      </c>
      <c r="P85" s="22" t="s">
        <v>165</v>
      </c>
    </row>
    <row r="86" spans="1:16" ht="24">
      <c r="A86" s="9" t="s">
        <v>419</v>
      </c>
      <c r="B86" s="2" t="s">
        <v>435</v>
      </c>
      <c r="C86" s="2" t="s">
        <v>436</v>
      </c>
      <c r="D86" s="2" t="s">
        <v>422</v>
      </c>
      <c r="E86" s="2" t="s">
        <v>23</v>
      </c>
      <c r="F86" s="2" t="s">
        <v>437</v>
      </c>
      <c r="G86" s="2" t="s">
        <v>23</v>
      </c>
      <c r="H86" s="2" t="s">
        <v>429</v>
      </c>
      <c r="I86" s="2" t="s">
        <v>27</v>
      </c>
      <c r="J86" s="2" t="s">
        <v>28</v>
      </c>
      <c r="K86" s="2" t="s">
        <v>54</v>
      </c>
      <c r="L86" s="2" t="s">
        <v>46</v>
      </c>
      <c r="M86" s="2" t="s">
        <v>31</v>
      </c>
      <c r="N86" s="2" t="s">
        <v>438</v>
      </c>
      <c r="O86" s="22" t="s">
        <v>165</v>
      </c>
      <c r="P86" s="22" t="s">
        <v>165</v>
      </c>
    </row>
    <row r="87" spans="1:16" ht="24">
      <c r="A87" s="9" t="s">
        <v>419</v>
      </c>
      <c r="B87" s="2" t="s">
        <v>439</v>
      </c>
      <c r="C87" s="2" t="s">
        <v>440</v>
      </c>
      <c r="D87" s="2" t="s">
        <v>422</v>
      </c>
      <c r="E87" s="2" t="s">
        <v>23</v>
      </c>
      <c r="F87" s="2" t="s">
        <v>441</v>
      </c>
      <c r="G87" s="2" t="s">
        <v>23</v>
      </c>
      <c r="H87" s="2" t="s">
        <v>429</v>
      </c>
      <c r="I87" s="2" t="s">
        <v>27</v>
      </c>
      <c r="J87" s="2" t="s">
        <v>28</v>
      </c>
      <c r="K87" s="2" t="s">
        <v>54</v>
      </c>
      <c r="L87" s="2" t="s">
        <v>46</v>
      </c>
      <c r="M87" s="2" t="s">
        <v>31</v>
      </c>
      <c r="N87" s="2" t="s">
        <v>442</v>
      </c>
      <c r="O87" s="22" t="s">
        <v>165</v>
      </c>
      <c r="P87" s="22" t="s">
        <v>165</v>
      </c>
    </row>
    <row r="88" spans="1:16" ht="36">
      <c r="A88" s="9" t="s">
        <v>419</v>
      </c>
      <c r="B88" s="2" t="s">
        <v>443</v>
      </c>
      <c r="C88" s="2" t="s">
        <v>444</v>
      </c>
      <c r="D88" s="2" t="s">
        <v>422</v>
      </c>
      <c r="E88" s="2" t="s">
        <v>23</v>
      </c>
      <c r="F88" s="2" t="s">
        <v>445</v>
      </c>
      <c r="G88" s="2" t="s">
        <v>23</v>
      </c>
      <c r="H88" s="2" t="s">
        <v>429</v>
      </c>
      <c r="I88" s="2" t="s">
        <v>27</v>
      </c>
      <c r="J88" s="2" t="s">
        <v>28</v>
      </c>
      <c r="K88" s="2" t="s">
        <v>48</v>
      </c>
      <c r="L88" s="2" t="s">
        <v>46</v>
      </c>
      <c r="M88" s="2" t="s">
        <v>31</v>
      </c>
      <c r="N88" s="2" t="s">
        <v>446</v>
      </c>
      <c r="O88" s="22" t="s">
        <v>165</v>
      </c>
      <c r="P88" s="22" t="s">
        <v>165</v>
      </c>
    </row>
    <row r="89" spans="1:16" ht="48">
      <c r="A89" s="9" t="s">
        <v>419</v>
      </c>
      <c r="B89" s="2" t="s">
        <v>447</v>
      </c>
      <c r="C89" s="2" t="s">
        <v>448</v>
      </c>
      <c r="D89" s="2" t="s">
        <v>422</v>
      </c>
      <c r="E89" s="2" t="s">
        <v>23</v>
      </c>
      <c r="F89" s="2" t="s">
        <v>449</v>
      </c>
      <c r="G89" s="2" t="s">
        <v>25</v>
      </c>
      <c r="H89" s="2" t="s">
        <v>38</v>
      </c>
      <c r="I89" s="2" t="s">
        <v>67</v>
      </c>
      <c r="J89" s="2" t="s">
        <v>68</v>
      </c>
      <c r="K89" s="2" t="s">
        <v>54</v>
      </c>
      <c r="L89" s="2" t="s">
        <v>46</v>
      </c>
      <c r="M89" s="2" t="s">
        <v>69</v>
      </c>
      <c r="N89" s="2" t="s">
        <v>450</v>
      </c>
      <c r="O89" s="22" t="s">
        <v>135</v>
      </c>
      <c r="P89" s="22" t="s">
        <v>72</v>
      </c>
    </row>
    <row r="90" spans="1:16" ht="36">
      <c r="A90" s="9" t="s">
        <v>419</v>
      </c>
      <c r="B90" s="2" t="s">
        <v>451</v>
      </c>
      <c r="C90" s="2" t="s">
        <v>452</v>
      </c>
      <c r="D90" s="2" t="s">
        <v>422</v>
      </c>
      <c r="E90" s="2" t="s">
        <v>23</v>
      </c>
      <c r="F90" s="2" t="s">
        <v>453</v>
      </c>
      <c r="G90" s="2" t="s">
        <v>23</v>
      </c>
      <c r="H90" s="2" t="s">
        <v>454</v>
      </c>
      <c r="I90" s="2" t="s">
        <v>27</v>
      </c>
      <c r="J90" s="2" t="s">
        <v>28</v>
      </c>
      <c r="K90" s="2" t="s">
        <v>48</v>
      </c>
      <c r="L90" s="2" t="s">
        <v>46</v>
      </c>
      <c r="M90" s="2" t="s">
        <v>31</v>
      </c>
      <c r="N90" s="2" t="s">
        <v>455</v>
      </c>
      <c r="O90" s="22" t="s">
        <v>170</v>
      </c>
      <c r="P90" s="22" t="s">
        <v>63</v>
      </c>
    </row>
    <row r="91" spans="1:16" ht="48">
      <c r="A91" s="9" t="s">
        <v>419</v>
      </c>
      <c r="B91" s="2" t="s">
        <v>456</v>
      </c>
      <c r="C91" s="2" t="s">
        <v>457</v>
      </c>
      <c r="D91" s="2" t="s">
        <v>422</v>
      </c>
      <c r="E91" s="2" t="s">
        <v>23</v>
      </c>
      <c r="F91" s="2" t="s">
        <v>458</v>
      </c>
      <c r="G91" s="2" t="s">
        <v>23</v>
      </c>
      <c r="H91" s="2" t="s">
        <v>429</v>
      </c>
      <c r="I91" s="2" t="s">
        <v>67</v>
      </c>
      <c r="J91" s="2" t="s">
        <v>68</v>
      </c>
      <c r="K91" s="2" t="s">
        <v>48</v>
      </c>
      <c r="L91" s="2" t="s">
        <v>46</v>
      </c>
      <c r="M91" s="2" t="s">
        <v>31</v>
      </c>
      <c r="N91" s="2" t="s">
        <v>459</v>
      </c>
      <c r="O91" s="22" t="s">
        <v>165</v>
      </c>
      <c r="P91" s="22" t="s">
        <v>72</v>
      </c>
    </row>
    <row r="92" spans="1:16" ht="24">
      <c r="A92" s="9" t="s">
        <v>419</v>
      </c>
      <c r="B92" s="2" t="s">
        <v>460</v>
      </c>
      <c r="C92" s="2" t="s">
        <v>461</v>
      </c>
      <c r="D92" s="2" t="s">
        <v>120</v>
      </c>
      <c r="E92" s="2" t="s">
        <v>23</v>
      </c>
      <c r="F92" s="2" t="s">
        <v>462</v>
      </c>
      <c r="G92" s="2" t="s">
        <v>23</v>
      </c>
      <c r="H92" s="2" t="s">
        <v>463</v>
      </c>
      <c r="I92" s="2" t="s">
        <v>27</v>
      </c>
      <c r="J92" s="2" t="s">
        <v>28</v>
      </c>
      <c r="K92" s="2" t="s">
        <v>29</v>
      </c>
      <c r="L92" s="2" t="s">
        <v>120</v>
      </c>
      <c r="M92" s="2" t="s">
        <v>31</v>
      </c>
      <c r="N92" s="2" t="s">
        <v>464</v>
      </c>
      <c r="O92" s="22" t="s">
        <v>165</v>
      </c>
      <c r="P92" s="22" t="s">
        <v>165</v>
      </c>
    </row>
    <row r="93" spans="1:16" ht="24">
      <c r="A93" s="9" t="s">
        <v>419</v>
      </c>
      <c r="B93" s="2" t="s">
        <v>465</v>
      </c>
      <c r="C93" s="2" t="s">
        <v>466</v>
      </c>
      <c r="D93" s="2" t="s">
        <v>52</v>
      </c>
      <c r="E93" s="2" t="s">
        <v>23</v>
      </c>
      <c r="F93" s="2" t="s">
        <v>467</v>
      </c>
      <c r="G93" s="2" t="s">
        <v>23</v>
      </c>
      <c r="H93" s="2" t="s">
        <v>468</v>
      </c>
      <c r="I93" s="2" t="s">
        <v>27</v>
      </c>
      <c r="J93" s="2" t="s">
        <v>28</v>
      </c>
      <c r="K93" s="2" t="s">
        <v>54</v>
      </c>
      <c r="L93" s="2" t="s">
        <v>52</v>
      </c>
      <c r="M93" s="2" t="s">
        <v>31</v>
      </c>
      <c r="N93" s="2" t="s">
        <v>469</v>
      </c>
      <c r="O93" s="22" t="s">
        <v>165</v>
      </c>
      <c r="P93" s="22" t="s">
        <v>63</v>
      </c>
    </row>
    <row r="94" spans="1:16" ht="72">
      <c r="A94" s="10" t="s">
        <v>470</v>
      </c>
      <c r="B94" s="2" t="s">
        <v>471</v>
      </c>
      <c r="C94" s="2" t="s">
        <v>472</v>
      </c>
      <c r="D94" s="2" t="s">
        <v>473</v>
      </c>
      <c r="E94" s="2" t="s">
        <v>23</v>
      </c>
      <c r="F94" s="2" t="s">
        <v>474</v>
      </c>
      <c r="G94" s="2" t="s">
        <v>23</v>
      </c>
      <c r="H94" s="2" t="s">
        <v>301</v>
      </c>
      <c r="I94" s="2" t="s">
        <v>27</v>
      </c>
      <c r="J94" s="2" t="s">
        <v>28</v>
      </c>
      <c r="K94" s="2" t="s">
        <v>48</v>
      </c>
      <c r="L94" s="2" t="s">
        <v>142</v>
      </c>
      <c r="M94" s="2" t="s">
        <v>31</v>
      </c>
      <c r="N94" s="2" t="s">
        <v>475</v>
      </c>
      <c r="O94" s="22" t="s">
        <v>297</v>
      </c>
      <c r="P94" s="22" t="s">
        <v>135</v>
      </c>
    </row>
    <row r="95" spans="1:16" ht="36">
      <c r="A95" s="10" t="s">
        <v>470</v>
      </c>
      <c r="B95" s="2" t="s">
        <v>476</v>
      </c>
      <c r="C95" s="2" t="s">
        <v>477</v>
      </c>
      <c r="D95" s="2" t="s">
        <v>473</v>
      </c>
      <c r="E95" s="2" t="s">
        <v>23</v>
      </c>
      <c r="F95" s="2" t="s">
        <v>478</v>
      </c>
      <c r="G95" s="2" t="s">
        <v>23</v>
      </c>
      <c r="H95" s="2" t="s">
        <v>479</v>
      </c>
      <c r="I95" s="2" t="s">
        <v>27</v>
      </c>
      <c r="J95" s="2" t="s">
        <v>28</v>
      </c>
      <c r="K95" s="2" t="s">
        <v>54</v>
      </c>
      <c r="L95" s="2" t="s">
        <v>46</v>
      </c>
      <c r="M95" s="2" t="s">
        <v>31</v>
      </c>
      <c r="N95" s="2" t="s">
        <v>480</v>
      </c>
      <c r="O95" s="22" t="s">
        <v>297</v>
      </c>
      <c r="P95" s="22" t="s">
        <v>135</v>
      </c>
    </row>
    <row r="96" spans="1:16" ht="60">
      <c r="A96" s="10" t="s">
        <v>470</v>
      </c>
      <c r="B96" s="2" t="s">
        <v>481</v>
      </c>
      <c r="C96" s="2" t="s">
        <v>482</v>
      </c>
      <c r="D96" s="2" t="s">
        <v>473</v>
      </c>
      <c r="E96" s="2" t="s">
        <v>23</v>
      </c>
      <c r="F96" s="2" t="s">
        <v>483</v>
      </c>
      <c r="G96" s="2" t="s">
        <v>23</v>
      </c>
      <c r="H96" s="2" t="s">
        <v>301</v>
      </c>
      <c r="I96" s="2" t="s">
        <v>27</v>
      </c>
      <c r="J96" s="2" t="s">
        <v>28</v>
      </c>
      <c r="K96" s="2" t="s">
        <v>48</v>
      </c>
      <c r="L96" s="2" t="s">
        <v>46</v>
      </c>
      <c r="M96" s="2" t="s">
        <v>31</v>
      </c>
      <c r="N96" s="2" t="s">
        <v>484</v>
      </c>
      <c r="O96" s="22" t="s">
        <v>297</v>
      </c>
      <c r="P96" s="22" t="s">
        <v>135</v>
      </c>
    </row>
    <row r="97" spans="1:16" ht="36">
      <c r="A97" s="10" t="s">
        <v>470</v>
      </c>
      <c r="B97" s="2" t="s">
        <v>485</v>
      </c>
      <c r="C97" s="2" t="s">
        <v>486</v>
      </c>
      <c r="D97" s="2" t="s">
        <v>473</v>
      </c>
      <c r="E97" s="2" t="s">
        <v>23</v>
      </c>
      <c r="F97" s="2" t="s">
        <v>487</v>
      </c>
      <c r="G97" s="2" t="s">
        <v>23</v>
      </c>
      <c r="H97" s="2" t="s">
        <v>301</v>
      </c>
      <c r="I97" s="2" t="s">
        <v>27</v>
      </c>
      <c r="J97" s="2" t="s">
        <v>28</v>
      </c>
      <c r="K97" s="2" t="s">
        <v>54</v>
      </c>
      <c r="L97" s="2" t="s">
        <v>46</v>
      </c>
      <c r="M97" s="2" t="s">
        <v>31</v>
      </c>
      <c r="N97" s="2" t="s">
        <v>488</v>
      </c>
      <c r="O97" s="22" t="s">
        <v>297</v>
      </c>
      <c r="P97" s="22" t="s">
        <v>135</v>
      </c>
    </row>
    <row r="98" spans="1:16" ht="24">
      <c r="A98" s="10" t="s">
        <v>470</v>
      </c>
      <c r="B98" s="2" t="s">
        <v>489</v>
      </c>
      <c r="C98" s="2" t="s">
        <v>490</v>
      </c>
      <c r="D98" s="2" t="s">
        <v>473</v>
      </c>
      <c r="E98" s="2" t="s">
        <v>25</v>
      </c>
      <c r="F98" s="2" t="s">
        <v>168</v>
      </c>
      <c r="G98" s="2" t="s">
        <v>25</v>
      </c>
      <c r="H98" s="2" t="s">
        <v>26</v>
      </c>
      <c r="I98" s="2" t="s">
        <v>72</v>
      </c>
      <c r="J98" s="2" t="s">
        <v>68</v>
      </c>
      <c r="K98" s="2" t="s">
        <v>54</v>
      </c>
      <c r="L98" s="2" t="s">
        <v>46</v>
      </c>
      <c r="M98" s="2" t="s">
        <v>69</v>
      </c>
      <c r="N98" s="2" t="s">
        <v>491</v>
      </c>
      <c r="O98" s="22" t="s">
        <v>170</v>
      </c>
      <c r="P98" s="22" t="s">
        <v>72</v>
      </c>
    </row>
    <row r="99" spans="1:16" ht="24">
      <c r="A99" s="10" t="s">
        <v>470</v>
      </c>
      <c r="B99" s="2" t="s">
        <v>492</v>
      </c>
      <c r="C99" s="2" t="s">
        <v>493</v>
      </c>
      <c r="D99" s="2" t="s">
        <v>473</v>
      </c>
      <c r="E99" s="2" t="s">
        <v>23</v>
      </c>
      <c r="F99" s="2" t="s">
        <v>494</v>
      </c>
      <c r="G99" s="2" t="s">
        <v>23</v>
      </c>
      <c r="H99" s="2" t="s">
        <v>495</v>
      </c>
      <c r="I99" s="2" t="s">
        <v>27</v>
      </c>
      <c r="J99" s="2" t="s">
        <v>28</v>
      </c>
      <c r="K99" s="2" t="s">
        <v>48</v>
      </c>
      <c r="L99" s="2" t="s">
        <v>61</v>
      </c>
      <c r="M99" s="2" t="s">
        <v>31</v>
      </c>
      <c r="N99" s="2" t="s">
        <v>496</v>
      </c>
      <c r="O99" s="22" t="s">
        <v>297</v>
      </c>
      <c r="P99" s="22" t="s">
        <v>135</v>
      </c>
    </row>
    <row r="100" spans="1:16" ht="24">
      <c r="A100" s="10" t="s">
        <v>470</v>
      </c>
      <c r="B100" s="2" t="s">
        <v>497</v>
      </c>
      <c r="C100" s="2" t="s">
        <v>498</v>
      </c>
      <c r="D100" s="2" t="s">
        <v>473</v>
      </c>
      <c r="E100" s="2" t="s">
        <v>25</v>
      </c>
      <c r="F100" s="2" t="s">
        <v>38</v>
      </c>
      <c r="G100" s="2" t="s">
        <v>25</v>
      </c>
      <c r="H100" s="2" t="s">
        <v>26</v>
      </c>
      <c r="I100" s="2" t="s">
        <v>72</v>
      </c>
      <c r="J100" s="2" t="s">
        <v>68</v>
      </c>
      <c r="K100" s="2" t="s">
        <v>54</v>
      </c>
      <c r="L100" s="2" t="s">
        <v>52</v>
      </c>
      <c r="M100" s="2" t="s">
        <v>69</v>
      </c>
      <c r="N100" s="2" t="s">
        <v>499</v>
      </c>
      <c r="O100" s="22" t="s">
        <v>170</v>
      </c>
      <c r="P100" s="22" t="s">
        <v>72</v>
      </c>
    </row>
    <row r="101" spans="1:16" ht="36">
      <c r="A101" s="10" t="s">
        <v>470</v>
      </c>
      <c r="B101" s="2" t="s">
        <v>500</v>
      </c>
      <c r="C101" s="2" t="s">
        <v>501</v>
      </c>
      <c r="D101" s="2" t="s">
        <v>120</v>
      </c>
      <c r="E101" s="2" t="s">
        <v>23</v>
      </c>
      <c r="F101" s="2" t="s">
        <v>502</v>
      </c>
      <c r="G101" s="2" t="s">
        <v>23</v>
      </c>
      <c r="H101" s="2" t="s">
        <v>503</v>
      </c>
      <c r="I101" s="2" t="s">
        <v>27</v>
      </c>
      <c r="J101" s="2" t="s">
        <v>28</v>
      </c>
      <c r="K101" s="2" t="s">
        <v>29</v>
      </c>
      <c r="L101" s="2" t="s">
        <v>120</v>
      </c>
      <c r="M101" s="2" t="s">
        <v>31</v>
      </c>
      <c r="N101" s="2" t="s">
        <v>504</v>
      </c>
      <c r="O101" s="22" t="s">
        <v>135</v>
      </c>
      <c r="P101" s="22" t="s">
        <v>135</v>
      </c>
    </row>
    <row r="102" spans="1:16" ht="60">
      <c r="A102" s="10" t="s">
        <v>470</v>
      </c>
      <c r="B102" s="2" t="s">
        <v>505</v>
      </c>
      <c r="C102" s="2" t="s">
        <v>506</v>
      </c>
      <c r="D102" s="2" t="s">
        <v>473</v>
      </c>
      <c r="E102" s="2" t="s">
        <v>23</v>
      </c>
      <c r="F102" s="2" t="s">
        <v>507</v>
      </c>
      <c r="G102" s="2" t="s">
        <v>23</v>
      </c>
      <c r="H102" s="2" t="s">
        <v>301</v>
      </c>
      <c r="I102" s="2" t="s">
        <v>27</v>
      </c>
      <c r="J102" s="2" t="s">
        <v>68</v>
      </c>
      <c r="K102" s="2" t="s">
        <v>48</v>
      </c>
      <c r="L102" s="2" t="s">
        <v>46</v>
      </c>
      <c r="M102" s="2" t="s">
        <v>31</v>
      </c>
      <c r="N102" s="2" t="s">
        <v>508</v>
      </c>
      <c r="O102" s="22" t="s">
        <v>135</v>
      </c>
      <c r="P102" s="22" t="s">
        <v>135</v>
      </c>
    </row>
    <row r="103" spans="1:16" ht="36">
      <c r="A103" s="11" t="s">
        <v>509</v>
      </c>
      <c r="B103" s="2" t="s">
        <v>510</v>
      </c>
      <c r="C103" s="2" t="s">
        <v>511</v>
      </c>
      <c r="D103" s="2" t="s">
        <v>512</v>
      </c>
      <c r="E103" s="2" t="s">
        <v>23</v>
      </c>
      <c r="F103" s="2" t="s">
        <v>513</v>
      </c>
      <c r="G103" s="2" t="s">
        <v>23</v>
      </c>
      <c r="H103" s="2" t="s">
        <v>514</v>
      </c>
      <c r="I103" s="2" t="s">
        <v>27</v>
      </c>
      <c r="J103" s="2" t="s">
        <v>28</v>
      </c>
      <c r="K103" s="2" t="s">
        <v>48</v>
      </c>
      <c r="L103" s="2" t="s">
        <v>142</v>
      </c>
      <c r="M103" s="2" t="s">
        <v>31</v>
      </c>
      <c r="N103" s="2" t="s">
        <v>515</v>
      </c>
      <c r="O103" s="22" t="s">
        <v>34</v>
      </c>
      <c r="P103" s="22" t="s">
        <v>63</v>
      </c>
    </row>
    <row r="104" spans="1:16" ht="24">
      <c r="A104" s="11" t="s">
        <v>509</v>
      </c>
      <c r="B104" s="2" t="s">
        <v>516</v>
      </c>
      <c r="C104" s="2" t="s">
        <v>517</v>
      </c>
      <c r="D104" s="2" t="s">
        <v>512</v>
      </c>
      <c r="E104" s="2" t="s">
        <v>23</v>
      </c>
      <c r="F104" s="2" t="s">
        <v>518</v>
      </c>
      <c r="G104" s="2" t="s">
        <v>23</v>
      </c>
      <c r="H104" s="2" t="s">
        <v>519</v>
      </c>
      <c r="I104" s="2" t="s">
        <v>27</v>
      </c>
      <c r="J104" s="2" t="s">
        <v>28</v>
      </c>
      <c r="K104" s="2" t="s">
        <v>54</v>
      </c>
      <c r="L104" s="2" t="s">
        <v>46</v>
      </c>
      <c r="M104" s="2" t="s">
        <v>31</v>
      </c>
      <c r="N104" s="2" t="s">
        <v>520</v>
      </c>
      <c r="O104" s="22" t="s">
        <v>170</v>
      </c>
      <c r="P104" s="22" t="s">
        <v>63</v>
      </c>
    </row>
    <row r="105" spans="1:16" ht="24">
      <c r="A105" s="11" t="s">
        <v>509</v>
      </c>
      <c r="B105" s="2" t="s">
        <v>521</v>
      </c>
      <c r="C105" s="2" t="s">
        <v>522</v>
      </c>
      <c r="D105" s="2" t="s">
        <v>512</v>
      </c>
      <c r="E105" s="2" t="s">
        <v>23</v>
      </c>
      <c r="F105" s="2" t="s">
        <v>523</v>
      </c>
      <c r="G105" s="2" t="s">
        <v>25</v>
      </c>
      <c r="H105" s="2" t="s">
        <v>26</v>
      </c>
      <c r="I105" s="2" t="s">
        <v>67</v>
      </c>
      <c r="J105" s="2" t="s">
        <v>68</v>
      </c>
      <c r="K105" s="2" t="s">
        <v>48</v>
      </c>
      <c r="L105" s="2" t="s">
        <v>46</v>
      </c>
      <c r="M105" s="2" t="s">
        <v>69</v>
      </c>
      <c r="N105" s="2" t="s">
        <v>524</v>
      </c>
      <c r="O105" s="22" t="s">
        <v>170</v>
      </c>
      <c r="P105" s="22" t="s">
        <v>72</v>
      </c>
    </row>
    <row r="106" spans="1:16" ht="36">
      <c r="A106" s="11" t="s">
        <v>509</v>
      </c>
      <c r="B106" s="2" t="s">
        <v>525</v>
      </c>
      <c r="C106" s="2" t="s">
        <v>526</v>
      </c>
      <c r="D106" s="2" t="s">
        <v>512</v>
      </c>
      <c r="E106" s="2" t="s">
        <v>23</v>
      </c>
      <c r="F106" s="2" t="s">
        <v>527</v>
      </c>
      <c r="G106" s="2" t="s">
        <v>25</v>
      </c>
      <c r="H106" s="2" t="s">
        <v>26</v>
      </c>
      <c r="I106" s="2" t="s">
        <v>67</v>
      </c>
      <c r="J106" s="2" t="s">
        <v>68</v>
      </c>
      <c r="K106" s="2" t="s">
        <v>48</v>
      </c>
      <c r="L106" s="2" t="s">
        <v>46</v>
      </c>
      <c r="M106" s="2" t="s">
        <v>69</v>
      </c>
      <c r="N106" s="2" t="s">
        <v>528</v>
      </c>
      <c r="O106" s="22" t="s">
        <v>34</v>
      </c>
      <c r="P106" s="22" t="s">
        <v>72</v>
      </c>
    </row>
    <row r="107" spans="1:16" ht="24">
      <c r="A107" s="11" t="s">
        <v>509</v>
      </c>
      <c r="B107" s="2" t="s">
        <v>529</v>
      </c>
      <c r="C107" s="2" t="s">
        <v>530</v>
      </c>
      <c r="D107" s="2" t="s">
        <v>512</v>
      </c>
      <c r="E107" s="2" t="s">
        <v>23</v>
      </c>
      <c r="F107" s="2" t="s">
        <v>531</v>
      </c>
      <c r="G107" s="2" t="s">
        <v>25</v>
      </c>
      <c r="H107" s="2" t="s">
        <v>26</v>
      </c>
      <c r="I107" s="2" t="s">
        <v>72</v>
      </c>
      <c r="J107" s="2" t="s">
        <v>68</v>
      </c>
      <c r="K107" s="2" t="s">
        <v>54</v>
      </c>
      <c r="L107" s="2" t="s">
        <v>52</v>
      </c>
      <c r="M107" s="2" t="s">
        <v>69</v>
      </c>
      <c r="N107" s="2" t="s">
        <v>532</v>
      </c>
      <c r="O107" s="22" t="s">
        <v>170</v>
      </c>
      <c r="P107" s="22" t="s">
        <v>72</v>
      </c>
    </row>
    <row r="108" spans="1:16" ht="24">
      <c r="A108" s="11" t="s">
        <v>509</v>
      </c>
      <c r="B108" s="2" t="s">
        <v>533</v>
      </c>
      <c r="C108" s="2" t="s">
        <v>534</v>
      </c>
      <c r="D108" s="2" t="s">
        <v>512</v>
      </c>
      <c r="E108" s="2" t="s">
        <v>23</v>
      </c>
      <c r="F108" s="2" t="s">
        <v>535</v>
      </c>
      <c r="G108" s="2" t="s">
        <v>23</v>
      </c>
      <c r="H108" s="2" t="s">
        <v>495</v>
      </c>
      <c r="I108" s="2" t="s">
        <v>27</v>
      </c>
      <c r="J108" s="2" t="s">
        <v>28</v>
      </c>
      <c r="K108" s="2" t="s">
        <v>48</v>
      </c>
      <c r="L108" s="2" t="s">
        <v>61</v>
      </c>
      <c r="M108" s="2" t="s">
        <v>31</v>
      </c>
      <c r="N108" s="2" t="s">
        <v>536</v>
      </c>
      <c r="O108" s="22" t="s">
        <v>34</v>
      </c>
      <c r="P108" s="22" t="s">
        <v>78</v>
      </c>
    </row>
    <row r="109" spans="1:16" ht="24">
      <c r="A109" s="11" t="s">
        <v>509</v>
      </c>
      <c r="B109" s="2" t="s">
        <v>537</v>
      </c>
      <c r="C109" s="2" t="s">
        <v>538</v>
      </c>
      <c r="D109" s="2" t="s">
        <v>120</v>
      </c>
      <c r="E109" s="2" t="s">
        <v>23</v>
      </c>
      <c r="F109" s="2" t="s">
        <v>539</v>
      </c>
      <c r="G109" s="2" t="s">
        <v>23</v>
      </c>
      <c r="H109" s="2" t="s">
        <v>540</v>
      </c>
      <c r="I109" s="2" t="s">
        <v>27</v>
      </c>
      <c r="J109" s="2" t="s">
        <v>28</v>
      </c>
      <c r="K109" s="2" t="s">
        <v>29</v>
      </c>
      <c r="L109" s="2" t="s">
        <v>120</v>
      </c>
      <c r="M109" s="2" t="s">
        <v>31</v>
      </c>
      <c r="N109" s="2" t="s">
        <v>541</v>
      </c>
      <c r="O109" s="22" t="s">
        <v>170</v>
      </c>
      <c r="P109" s="22" t="s">
        <v>63</v>
      </c>
    </row>
    <row r="110" spans="1:16" ht="24">
      <c r="A110" s="11" t="s">
        <v>509</v>
      </c>
      <c r="B110" s="2" t="s">
        <v>542</v>
      </c>
      <c r="C110" s="2" t="s">
        <v>543</v>
      </c>
      <c r="D110" s="2" t="s">
        <v>120</v>
      </c>
      <c r="E110" s="2" t="s">
        <v>23</v>
      </c>
      <c r="F110" s="2" t="s">
        <v>544</v>
      </c>
      <c r="G110" s="2" t="s">
        <v>23</v>
      </c>
      <c r="H110" s="2" t="s">
        <v>540</v>
      </c>
      <c r="I110" s="2" t="s">
        <v>27</v>
      </c>
      <c r="J110" s="2" t="s">
        <v>28</v>
      </c>
      <c r="K110" s="2" t="s">
        <v>29</v>
      </c>
      <c r="L110" s="2" t="s">
        <v>120</v>
      </c>
      <c r="M110" s="2" t="s">
        <v>31</v>
      </c>
      <c r="N110" s="2" t="s">
        <v>545</v>
      </c>
      <c r="O110" s="22" t="s">
        <v>170</v>
      </c>
      <c r="P110" s="22" t="s">
        <v>63</v>
      </c>
    </row>
    <row r="111" spans="1:16" ht="60">
      <c r="A111" s="12" t="s">
        <v>546</v>
      </c>
      <c r="B111" s="2" t="s">
        <v>547</v>
      </c>
      <c r="C111" s="2" t="s">
        <v>548</v>
      </c>
      <c r="D111" s="2" t="s">
        <v>549</v>
      </c>
      <c r="E111" s="2" t="s">
        <v>23</v>
      </c>
      <c r="F111" s="2" t="s">
        <v>550</v>
      </c>
      <c r="G111" s="2" t="s">
        <v>23</v>
      </c>
      <c r="H111" s="2" t="s">
        <v>281</v>
      </c>
      <c r="I111" s="2" t="s">
        <v>27</v>
      </c>
      <c r="J111" s="2" t="s">
        <v>28</v>
      </c>
      <c r="K111" s="2" t="s">
        <v>48</v>
      </c>
      <c r="L111" s="2" t="s">
        <v>142</v>
      </c>
      <c r="M111" s="2" t="s">
        <v>31</v>
      </c>
      <c r="N111" s="2" t="s">
        <v>551</v>
      </c>
      <c r="O111" s="22" t="s">
        <v>34</v>
      </c>
      <c r="P111" s="22" t="s">
        <v>34</v>
      </c>
    </row>
    <row r="112" spans="1:16" ht="48">
      <c r="A112" s="12" t="s">
        <v>546</v>
      </c>
      <c r="B112" s="2" t="s">
        <v>552</v>
      </c>
      <c r="C112" s="2" t="s">
        <v>553</v>
      </c>
      <c r="D112" s="2" t="s">
        <v>549</v>
      </c>
      <c r="E112" s="2" t="s">
        <v>23</v>
      </c>
      <c r="F112" s="2" t="s">
        <v>554</v>
      </c>
      <c r="G112" s="2" t="s">
        <v>23</v>
      </c>
      <c r="H112" s="2" t="s">
        <v>281</v>
      </c>
      <c r="I112" s="2" t="s">
        <v>67</v>
      </c>
      <c r="J112" s="2" t="s">
        <v>68</v>
      </c>
      <c r="K112" s="2" t="s">
        <v>54</v>
      </c>
      <c r="L112" s="2" t="s">
        <v>46</v>
      </c>
      <c r="M112" s="2" t="s">
        <v>31</v>
      </c>
      <c r="N112" s="2" t="s">
        <v>555</v>
      </c>
      <c r="O112" s="22" t="s">
        <v>34</v>
      </c>
      <c r="P112" s="22" t="s">
        <v>72</v>
      </c>
    </row>
    <row r="113" spans="1:16" ht="24">
      <c r="A113" s="12" t="s">
        <v>546</v>
      </c>
      <c r="B113" s="2" t="s">
        <v>556</v>
      </c>
      <c r="C113" s="2" t="s">
        <v>557</v>
      </c>
      <c r="D113" s="2" t="s">
        <v>549</v>
      </c>
      <c r="E113" s="2" t="s">
        <v>25</v>
      </c>
      <c r="F113" s="2" t="s">
        <v>558</v>
      </c>
      <c r="G113" s="2" t="s">
        <v>25</v>
      </c>
      <c r="H113" s="2" t="s">
        <v>26</v>
      </c>
      <c r="I113" s="2" t="s">
        <v>72</v>
      </c>
      <c r="J113" s="2" t="s">
        <v>68</v>
      </c>
      <c r="K113" s="2" t="s">
        <v>54</v>
      </c>
      <c r="L113" s="2" t="s">
        <v>46</v>
      </c>
      <c r="M113" s="2" t="s">
        <v>69</v>
      </c>
      <c r="N113" s="2" t="s">
        <v>559</v>
      </c>
      <c r="O113" s="22" t="s">
        <v>170</v>
      </c>
      <c r="P113" s="22" t="s">
        <v>72</v>
      </c>
    </row>
    <row r="114" spans="1:16" ht="24">
      <c r="A114" s="12" t="s">
        <v>546</v>
      </c>
      <c r="B114" s="2" t="s">
        <v>560</v>
      </c>
      <c r="C114" s="2" t="s">
        <v>561</v>
      </c>
      <c r="D114" s="2" t="s">
        <v>549</v>
      </c>
      <c r="E114" s="2" t="s">
        <v>23</v>
      </c>
      <c r="F114" s="2" t="s">
        <v>562</v>
      </c>
      <c r="G114" s="2" t="s">
        <v>25</v>
      </c>
      <c r="H114" s="2" t="s">
        <v>38</v>
      </c>
      <c r="I114" s="2" t="s">
        <v>67</v>
      </c>
      <c r="J114" s="2" t="s">
        <v>68</v>
      </c>
      <c r="K114" s="2" t="s">
        <v>48</v>
      </c>
      <c r="L114" s="2" t="s">
        <v>46</v>
      </c>
      <c r="M114" s="2" t="s">
        <v>69</v>
      </c>
      <c r="N114" s="2" t="s">
        <v>563</v>
      </c>
      <c r="O114" s="22" t="s">
        <v>330</v>
      </c>
      <c r="P114" s="22" t="s">
        <v>72</v>
      </c>
    </row>
    <row r="115" spans="1:16" ht="24">
      <c r="A115" s="12" t="s">
        <v>546</v>
      </c>
      <c r="B115" s="2" t="s">
        <v>564</v>
      </c>
      <c r="C115" s="2" t="s">
        <v>565</v>
      </c>
      <c r="D115" s="2" t="s">
        <v>549</v>
      </c>
      <c r="E115" s="2" t="s">
        <v>25</v>
      </c>
      <c r="F115" s="2" t="s">
        <v>38</v>
      </c>
      <c r="G115" s="2" t="s">
        <v>25</v>
      </c>
      <c r="H115" s="2" t="s">
        <v>26</v>
      </c>
      <c r="I115" s="2" t="s">
        <v>72</v>
      </c>
      <c r="J115" s="2" t="s">
        <v>68</v>
      </c>
      <c r="K115" s="2" t="s">
        <v>54</v>
      </c>
      <c r="L115" s="2" t="s">
        <v>46</v>
      </c>
      <c r="M115" s="2" t="s">
        <v>69</v>
      </c>
      <c r="N115" s="2" t="s">
        <v>566</v>
      </c>
      <c r="O115" s="22" t="s">
        <v>170</v>
      </c>
      <c r="P115" s="22" t="s">
        <v>72</v>
      </c>
    </row>
    <row r="116" spans="1:16" ht="60">
      <c r="A116" s="12" t="s">
        <v>546</v>
      </c>
      <c r="B116" s="2" t="s">
        <v>567</v>
      </c>
      <c r="C116" s="2" t="s">
        <v>568</v>
      </c>
      <c r="D116" s="2" t="s">
        <v>549</v>
      </c>
      <c r="E116" s="2" t="s">
        <v>23</v>
      </c>
      <c r="F116" s="2" t="s">
        <v>569</v>
      </c>
      <c r="G116" s="2" t="s">
        <v>23</v>
      </c>
      <c r="H116" s="2" t="s">
        <v>281</v>
      </c>
      <c r="I116" s="2" t="s">
        <v>27</v>
      </c>
      <c r="J116" s="2" t="s">
        <v>28</v>
      </c>
      <c r="K116" s="2" t="s">
        <v>48</v>
      </c>
      <c r="L116" s="2" t="s">
        <v>46</v>
      </c>
      <c r="M116" s="2" t="s">
        <v>31</v>
      </c>
      <c r="N116" s="2" t="s">
        <v>570</v>
      </c>
      <c r="O116" s="22" t="s">
        <v>34</v>
      </c>
      <c r="P116" s="22" t="s">
        <v>71</v>
      </c>
    </row>
    <row r="117" spans="1:16" ht="24">
      <c r="A117" s="12" t="s">
        <v>546</v>
      </c>
      <c r="B117" s="2" t="s">
        <v>571</v>
      </c>
      <c r="C117" s="2" t="s">
        <v>572</v>
      </c>
      <c r="D117" s="2" t="s">
        <v>549</v>
      </c>
      <c r="E117" s="2" t="s">
        <v>23</v>
      </c>
      <c r="F117" s="2" t="s">
        <v>573</v>
      </c>
      <c r="G117" s="2" t="s">
        <v>25</v>
      </c>
      <c r="H117" s="2" t="s">
        <v>38</v>
      </c>
      <c r="I117" s="2" t="s">
        <v>67</v>
      </c>
      <c r="J117" s="2" t="s">
        <v>28</v>
      </c>
      <c r="K117" s="2" t="s">
        <v>48</v>
      </c>
      <c r="L117" s="2" t="s">
        <v>133</v>
      </c>
      <c r="M117" s="2" t="s">
        <v>69</v>
      </c>
      <c r="N117" s="2" t="s">
        <v>574</v>
      </c>
      <c r="O117" s="22" t="s">
        <v>330</v>
      </c>
      <c r="P117" s="22" t="s">
        <v>72</v>
      </c>
    </row>
    <row r="118" spans="1:16" ht="60">
      <c r="A118" s="12" t="s">
        <v>546</v>
      </c>
      <c r="B118" s="2" t="s">
        <v>575</v>
      </c>
      <c r="C118" s="2" t="s">
        <v>576</v>
      </c>
      <c r="D118" s="2" t="s">
        <v>549</v>
      </c>
      <c r="E118" s="2" t="s">
        <v>23</v>
      </c>
      <c r="F118" s="2" t="s">
        <v>577</v>
      </c>
      <c r="G118" s="2" t="s">
        <v>23</v>
      </c>
      <c r="H118" s="2" t="s">
        <v>495</v>
      </c>
      <c r="I118" s="2" t="s">
        <v>27</v>
      </c>
      <c r="J118" s="2" t="s">
        <v>28</v>
      </c>
      <c r="K118" s="2" t="s">
        <v>48</v>
      </c>
      <c r="L118" s="2" t="s">
        <v>61</v>
      </c>
      <c r="M118" s="2" t="s">
        <v>31</v>
      </c>
      <c r="N118" s="2" t="s">
        <v>578</v>
      </c>
      <c r="O118" s="22" t="s">
        <v>34</v>
      </c>
      <c r="P118" s="22" t="s">
        <v>78</v>
      </c>
    </row>
    <row r="119" spans="1:16" ht="24">
      <c r="A119" s="12" t="s">
        <v>546</v>
      </c>
      <c r="B119" s="2" t="s">
        <v>579</v>
      </c>
      <c r="C119" s="2" t="s">
        <v>580</v>
      </c>
      <c r="D119" s="2" t="s">
        <v>120</v>
      </c>
      <c r="E119" s="2" t="s">
        <v>23</v>
      </c>
      <c r="F119" s="2" t="s">
        <v>281</v>
      </c>
      <c r="G119" s="2" t="s">
        <v>23</v>
      </c>
      <c r="H119" s="2" t="s">
        <v>581</v>
      </c>
      <c r="I119" s="2" t="s">
        <v>67</v>
      </c>
      <c r="J119" s="2" t="s">
        <v>68</v>
      </c>
      <c r="K119" s="2" t="s">
        <v>29</v>
      </c>
      <c r="L119" s="2" t="s">
        <v>120</v>
      </c>
      <c r="M119" s="2" t="s">
        <v>31</v>
      </c>
      <c r="N119" s="2" t="s">
        <v>582</v>
      </c>
      <c r="O119" s="22" t="s">
        <v>78</v>
      </c>
      <c r="P119" s="22" t="s">
        <v>72</v>
      </c>
    </row>
    <row r="120" spans="1:16" ht="24">
      <c r="A120" s="13" t="s">
        <v>583</v>
      </c>
      <c r="B120" s="2" t="s">
        <v>584</v>
      </c>
      <c r="C120" s="2" t="s">
        <v>585</v>
      </c>
      <c r="D120" s="2" t="s">
        <v>586</v>
      </c>
      <c r="E120" s="2" t="s">
        <v>23</v>
      </c>
      <c r="F120" s="2" t="s">
        <v>587</v>
      </c>
      <c r="G120" s="2" t="s">
        <v>23</v>
      </c>
      <c r="H120" s="2" t="s">
        <v>495</v>
      </c>
      <c r="I120" s="2" t="s">
        <v>27</v>
      </c>
      <c r="J120" s="2" t="s">
        <v>28</v>
      </c>
      <c r="K120" s="2" t="s">
        <v>48</v>
      </c>
      <c r="L120" s="2" t="s">
        <v>46</v>
      </c>
      <c r="M120" s="2" t="s">
        <v>31</v>
      </c>
      <c r="N120" s="2" t="s">
        <v>588</v>
      </c>
      <c r="O120" s="22" t="s">
        <v>34</v>
      </c>
      <c r="P120" s="22" t="s">
        <v>78</v>
      </c>
    </row>
    <row r="121" spans="1:16" ht="24">
      <c r="A121" s="13" t="s">
        <v>583</v>
      </c>
      <c r="B121" s="2" t="s">
        <v>589</v>
      </c>
      <c r="C121" s="2" t="s">
        <v>590</v>
      </c>
      <c r="D121" s="2" t="s">
        <v>586</v>
      </c>
      <c r="E121" s="2" t="s">
        <v>23</v>
      </c>
      <c r="F121" s="2" t="s">
        <v>591</v>
      </c>
      <c r="G121" s="2" t="s">
        <v>23</v>
      </c>
      <c r="H121" s="2" t="s">
        <v>495</v>
      </c>
      <c r="I121" s="2" t="s">
        <v>27</v>
      </c>
      <c r="J121" s="2" t="s">
        <v>28</v>
      </c>
      <c r="K121" s="2" t="s">
        <v>48</v>
      </c>
      <c r="L121" s="2" t="s">
        <v>46</v>
      </c>
      <c r="M121" s="2" t="s">
        <v>31</v>
      </c>
      <c r="N121" s="2" t="s">
        <v>592</v>
      </c>
      <c r="O121" s="22" t="s">
        <v>34</v>
      </c>
      <c r="P121" s="22" t="s">
        <v>78</v>
      </c>
    </row>
    <row r="122" spans="1:16" ht="24">
      <c r="A122" s="13" t="s">
        <v>583</v>
      </c>
      <c r="B122" s="2" t="s">
        <v>593</v>
      </c>
      <c r="C122" s="2" t="s">
        <v>594</v>
      </c>
      <c r="D122" s="2" t="s">
        <v>586</v>
      </c>
      <c r="E122" s="2" t="s">
        <v>23</v>
      </c>
      <c r="F122" s="2" t="s">
        <v>591</v>
      </c>
      <c r="G122" s="2" t="s">
        <v>23</v>
      </c>
      <c r="H122" s="2" t="s">
        <v>495</v>
      </c>
      <c r="I122" s="2" t="s">
        <v>27</v>
      </c>
      <c r="J122" s="2" t="s">
        <v>28</v>
      </c>
      <c r="K122" s="2" t="s">
        <v>48</v>
      </c>
      <c r="L122" s="2" t="s">
        <v>46</v>
      </c>
      <c r="M122" s="2" t="s">
        <v>31</v>
      </c>
      <c r="N122" s="2" t="s">
        <v>595</v>
      </c>
      <c r="O122" s="22" t="s">
        <v>34</v>
      </c>
      <c r="P122" s="22" t="s">
        <v>78</v>
      </c>
    </row>
    <row r="123" spans="1:16" ht="24">
      <c r="A123" s="13" t="s">
        <v>583</v>
      </c>
      <c r="B123" s="2" t="s">
        <v>596</v>
      </c>
      <c r="C123" s="2" t="s">
        <v>597</v>
      </c>
      <c r="D123" s="2" t="s">
        <v>586</v>
      </c>
      <c r="E123" s="2" t="s">
        <v>23</v>
      </c>
      <c r="F123" s="2" t="s">
        <v>591</v>
      </c>
      <c r="G123" s="2" t="s">
        <v>23</v>
      </c>
      <c r="H123" s="2" t="s">
        <v>495</v>
      </c>
      <c r="I123" s="2" t="s">
        <v>27</v>
      </c>
      <c r="J123" s="2" t="s">
        <v>28</v>
      </c>
      <c r="K123" s="2" t="s">
        <v>48</v>
      </c>
      <c r="L123" s="2" t="s">
        <v>46</v>
      </c>
      <c r="M123" s="2" t="s">
        <v>31</v>
      </c>
      <c r="N123" s="2" t="s">
        <v>598</v>
      </c>
      <c r="O123" s="22" t="s">
        <v>34</v>
      </c>
      <c r="P123" s="22" t="s">
        <v>78</v>
      </c>
    </row>
    <row r="124" spans="1:16" ht="48">
      <c r="A124" s="13" t="s">
        <v>583</v>
      </c>
      <c r="B124" s="2" t="s">
        <v>599</v>
      </c>
      <c r="C124" s="2" t="s">
        <v>600</v>
      </c>
      <c r="D124" s="2" t="s">
        <v>586</v>
      </c>
      <c r="E124" s="2" t="s">
        <v>23</v>
      </c>
      <c r="F124" s="2" t="s">
        <v>601</v>
      </c>
      <c r="G124" s="2" t="s">
        <v>23</v>
      </c>
      <c r="H124" s="2" t="s">
        <v>495</v>
      </c>
      <c r="I124" s="2" t="s">
        <v>27</v>
      </c>
      <c r="J124" s="2" t="s">
        <v>28</v>
      </c>
      <c r="K124" s="2" t="s">
        <v>48</v>
      </c>
      <c r="L124" s="2" t="s">
        <v>46</v>
      </c>
      <c r="M124" s="2" t="s">
        <v>31</v>
      </c>
      <c r="N124" s="2" t="s">
        <v>602</v>
      </c>
      <c r="O124" s="22" t="s">
        <v>34</v>
      </c>
      <c r="P124" s="22" t="s">
        <v>78</v>
      </c>
    </row>
    <row r="125" spans="1:16" ht="24">
      <c r="A125" s="13" t="s">
        <v>583</v>
      </c>
      <c r="B125" s="2" t="s">
        <v>603</v>
      </c>
      <c r="C125" s="2" t="s">
        <v>604</v>
      </c>
      <c r="D125" s="2" t="s">
        <v>234</v>
      </c>
      <c r="E125" s="2" t="s">
        <v>23</v>
      </c>
      <c r="F125" s="2" t="s">
        <v>605</v>
      </c>
      <c r="G125" s="2" t="s">
        <v>23</v>
      </c>
      <c r="H125" s="2" t="s">
        <v>495</v>
      </c>
      <c r="I125" s="2" t="s">
        <v>27</v>
      </c>
      <c r="J125" s="2" t="s">
        <v>28</v>
      </c>
      <c r="K125" s="2" t="s">
        <v>48</v>
      </c>
      <c r="L125" s="2" t="s">
        <v>234</v>
      </c>
      <c r="M125" s="2" t="s">
        <v>31</v>
      </c>
      <c r="N125" s="2" t="s">
        <v>606</v>
      </c>
      <c r="O125" s="22" t="s">
        <v>34</v>
      </c>
      <c r="P125" s="22" t="s">
        <v>78</v>
      </c>
    </row>
    <row r="126" spans="1:16" ht="24">
      <c r="A126" s="13" t="s">
        <v>583</v>
      </c>
      <c r="B126" s="2" t="s">
        <v>607</v>
      </c>
      <c r="C126" s="2" t="s">
        <v>608</v>
      </c>
      <c r="D126" s="2" t="s">
        <v>586</v>
      </c>
      <c r="E126" s="2" t="s">
        <v>23</v>
      </c>
      <c r="F126" s="2" t="s">
        <v>609</v>
      </c>
      <c r="G126" s="2" t="s">
        <v>23</v>
      </c>
      <c r="H126" s="2" t="s">
        <v>495</v>
      </c>
      <c r="I126" s="2" t="s">
        <v>27</v>
      </c>
      <c r="J126" s="2" t="s">
        <v>28</v>
      </c>
      <c r="K126" s="2" t="s">
        <v>48</v>
      </c>
      <c r="L126" s="2" t="s">
        <v>61</v>
      </c>
      <c r="M126" s="2" t="s">
        <v>31</v>
      </c>
      <c r="N126" s="2" t="s">
        <v>610</v>
      </c>
      <c r="O126" s="22" t="s">
        <v>34</v>
      </c>
      <c r="P126" s="22" t="s">
        <v>78</v>
      </c>
    </row>
    <row r="127" spans="1:16" ht="24">
      <c r="A127" s="13" t="s">
        <v>583</v>
      </c>
      <c r="B127" s="2" t="s">
        <v>611</v>
      </c>
      <c r="C127" s="2" t="s">
        <v>612</v>
      </c>
      <c r="D127" s="2" t="s">
        <v>586</v>
      </c>
      <c r="E127" s="2" t="s">
        <v>23</v>
      </c>
      <c r="F127" s="2" t="s">
        <v>613</v>
      </c>
      <c r="G127" s="2" t="s">
        <v>23</v>
      </c>
      <c r="H127" s="2" t="s">
        <v>495</v>
      </c>
      <c r="I127" s="2" t="s">
        <v>27</v>
      </c>
      <c r="J127" s="2" t="s">
        <v>28</v>
      </c>
      <c r="K127" s="2" t="s">
        <v>48</v>
      </c>
      <c r="L127" s="2" t="s">
        <v>61</v>
      </c>
      <c r="M127" s="2" t="s">
        <v>31</v>
      </c>
      <c r="N127" s="2" t="s">
        <v>614</v>
      </c>
      <c r="O127" s="22" t="s">
        <v>34</v>
      </c>
      <c r="P127" s="22" t="s">
        <v>78</v>
      </c>
    </row>
    <row r="128" spans="1:16" ht="60">
      <c r="A128" s="13" t="s">
        <v>583</v>
      </c>
      <c r="B128" s="2" t="s">
        <v>615</v>
      </c>
      <c r="C128" s="2" t="s">
        <v>616</v>
      </c>
      <c r="D128" s="2" t="s">
        <v>586</v>
      </c>
      <c r="E128" s="2" t="s">
        <v>23</v>
      </c>
      <c r="F128" s="2" t="s">
        <v>617</v>
      </c>
      <c r="G128" s="2" t="s">
        <v>23</v>
      </c>
      <c r="H128" s="2" t="s">
        <v>495</v>
      </c>
      <c r="I128" s="2" t="s">
        <v>27</v>
      </c>
      <c r="J128" s="2" t="s">
        <v>28</v>
      </c>
      <c r="K128" s="2" t="s">
        <v>48</v>
      </c>
      <c r="L128" s="2" t="s">
        <v>46</v>
      </c>
      <c r="M128" s="2" t="s">
        <v>31</v>
      </c>
      <c r="N128" s="2" t="s">
        <v>618</v>
      </c>
      <c r="O128" s="22" t="s">
        <v>34</v>
      </c>
      <c r="P128" s="22" t="s">
        <v>78</v>
      </c>
    </row>
    <row r="129" spans="1:16" ht="24">
      <c r="A129" s="13" t="s">
        <v>583</v>
      </c>
      <c r="B129" s="2" t="s">
        <v>619</v>
      </c>
      <c r="C129" s="2" t="s">
        <v>620</v>
      </c>
      <c r="D129" s="2" t="s">
        <v>120</v>
      </c>
      <c r="E129" s="2" t="s">
        <v>23</v>
      </c>
      <c r="F129" s="2" t="s">
        <v>495</v>
      </c>
      <c r="G129" s="2" t="s">
        <v>23</v>
      </c>
      <c r="H129" s="2" t="s">
        <v>503</v>
      </c>
      <c r="I129" s="2" t="s">
        <v>27</v>
      </c>
      <c r="J129" s="2" t="s">
        <v>28</v>
      </c>
      <c r="K129" s="2" t="s">
        <v>29</v>
      </c>
      <c r="L129" s="2" t="s">
        <v>120</v>
      </c>
      <c r="M129" s="2" t="s">
        <v>31</v>
      </c>
      <c r="N129" s="2" t="s">
        <v>621</v>
      </c>
      <c r="O129" s="22" t="s">
        <v>78</v>
      </c>
      <c r="P129" s="22" t="s">
        <v>78</v>
      </c>
    </row>
    <row r="130" spans="1:16" ht="24">
      <c r="A130" s="13" t="s">
        <v>583</v>
      </c>
      <c r="B130" s="2" t="s">
        <v>622</v>
      </c>
      <c r="C130" s="2" t="s">
        <v>623</v>
      </c>
      <c r="D130" s="2" t="s">
        <v>120</v>
      </c>
      <c r="E130" s="2" t="s">
        <v>23</v>
      </c>
      <c r="F130" s="2" t="s">
        <v>495</v>
      </c>
      <c r="G130" s="2" t="s">
        <v>23</v>
      </c>
      <c r="H130" s="2" t="s">
        <v>503</v>
      </c>
      <c r="I130" s="2" t="s">
        <v>27</v>
      </c>
      <c r="J130" s="2" t="s">
        <v>28</v>
      </c>
      <c r="K130" s="2" t="s">
        <v>29</v>
      </c>
      <c r="L130" s="2" t="s">
        <v>120</v>
      </c>
      <c r="M130" s="2" t="s">
        <v>31</v>
      </c>
      <c r="N130" s="2" t="s">
        <v>624</v>
      </c>
      <c r="O130" s="22" t="s">
        <v>78</v>
      </c>
      <c r="P130" s="22" t="s">
        <v>78</v>
      </c>
    </row>
    <row r="131" spans="1:16" ht="24">
      <c r="A131" s="13" t="s">
        <v>583</v>
      </c>
      <c r="B131" s="2" t="s">
        <v>625</v>
      </c>
      <c r="C131" s="2" t="s">
        <v>626</v>
      </c>
      <c r="D131" s="2" t="s">
        <v>120</v>
      </c>
      <c r="E131" s="2" t="s">
        <v>23</v>
      </c>
      <c r="F131" s="2" t="s">
        <v>495</v>
      </c>
      <c r="G131" s="2" t="s">
        <v>23</v>
      </c>
      <c r="H131" s="2" t="s">
        <v>503</v>
      </c>
      <c r="I131" s="2" t="s">
        <v>27</v>
      </c>
      <c r="J131" s="2" t="s">
        <v>28</v>
      </c>
      <c r="K131" s="2" t="s">
        <v>29</v>
      </c>
      <c r="L131" s="2" t="s">
        <v>120</v>
      </c>
      <c r="M131" s="2" t="s">
        <v>31</v>
      </c>
      <c r="N131" s="2" t="s">
        <v>627</v>
      </c>
      <c r="O131" s="22" t="s">
        <v>78</v>
      </c>
      <c r="P131" s="22" t="s">
        <v>78</v>
      </c>
    </row>
    <row r="132" spans="1:16" ht="36">
      <c r="A132" s="13" t="s">
        <v>583</v>
      </c>
      <c r="B132" s="2" t="s">
        <v>628</v>
      </c>
      <c r="C132" s="2" t="s">
        <v>629</v>
      </c>
      <c r="D132" s="2" t="s">
        <v>586</v>
      </c>
      <c r="E132" s="2" t="s">
        <v>23</v>
      </c>
      <c r="F132" s="2" t="s">
        <v>630</v>
      </c>
      <c r="G132" s="2" t="s">
        <v>23</v>
      </c>
      <c r="H132" s="2" t="s">
        <v>495</v>
      </c>
      <c r="I132" s="2" t="s">
        <v>27</v>
      </c>
      <c r="J132" s="2" t="s">
        <v>28</v>
      </c>
      <c r="K132" s="2" t="s">
        <v>48</v>
      </c>
      <c r="L132" s="2" t="s">
        <v>46</v>
      </c>
      <c r="M132" s="2" t="s">
        <v>31</v>
      </c>
      <c r="N132" s="2" t="s">
        <v>631</v>
      </c>
      <c r="O132" s="22" t="s">
        <v>34</v>
      </c>
      <c r="P132" s="22" t="s">
        <v>78</v>
      </c>
    </row>
    <row r="133" spans="1:16" ht="36">
      <c r="A133" s="13" t="s">
        <v>583</v>
      </c>
      <c r="B133" s="2" t="s">
        <v>632</v>
      </c>
      <c r="C133" s="2" t="s">
        <v>633</v>
      </c>
      <c r="D133" s="2" t="s">
        <v>586</v>
      </c>
      <c r="E133" s="2" t="s">
        <v>23</v>
      </c>
      <c r="F133" s="2" t="s">
        <v>634</v>
      </c>
      <c r="G133" s="2" t="s">
        <v>23</v>
      </c>
      <c r="H133" s="2" t="s">
        <v>334</v>
      </c>
      <c r="I133" s="2" t="s">
        <v>27</v>
      </c>
      <c r="J133" s="2" t="s">
        <v>28</v>
      </c>
      <c r="K133" s="2" t="s">
        <v>48</v>
      </c>
      <c r="L133" s="2" t="s">
        <v>46</v>
      </c>
      <c r="M133" s="2" t="s">
        <v>31</v>
      </c>
      <c r="N133" s="2" t="s">
        <v>635</v>
      </c>
      <c r="O133" s="22" t="s">
        <v>78</v>
      </c>
      <c r="P133" s="22" t="s">
        <v>123</v>
      </c>
    </row>
    <row r="134" spans="1:16" ht="24">
      <c r="A134" s="13" t="s">
        <v>583</v>
      </c>
      <c r="B134" s="2" t="s">
        <v>636</v>
      </c>
      <c r="C134" s="2" t="s">
        <v>637</v>
      </c>
      <c r="D134" s="2" t="s">
        <v>586</v>
      </c>
      <c r="E134" s="2" t="s">
        <v>23</v>
      </c>
      <c r="F134" s="2" t="s">
        <v>638</v>
      </c>
      <c r="G134" s="2" t="s">
        <v>23</v>
      </c>
      <c r="H134" s="2" t="s">
        <v>639</v>
      </c>
      <c r="I134" s="2" t="s">
        <v>27</v>
      </c>
      <c r="J134" s="2" t="s">
        <v>68</v>
      </c>
      <c r="K134" s="2" t="s">
        <v>48</v>
      </c>
      <c r="L134" s="2" t="s">
        <v>46</v>
      </c>
      <c r="M134" s="2" t="s">
        <v>31</v>
      </c>
      <c r="N134" s="2" t="s">
        <v>640</v>
      </c>
      <c r="O134" s="22" t="s">
        <v>123</v>
      </c>
      <c r="P134" s="22" t="s">
        <v>123</v>
      </c>
    </row>
    <row r="135" spans="1:16" ht="24">
      <c r="A135" s="14" t="s">
        <v>641</v>
      </c>
      <c r="B135" s="2" t="s">
        <v>642</v>
      </c>
      <c r="C135" s="2" t="s">
        <v>643</v>
      </c>
      <c r="D135" s="2" t="s">
        <v>61</v>
      </c>
      <c r="E135" s="2" t="s">
        <v>23</v>
      </c>
      <c r="F135" s="2" t="s">
        <v>644</v>
      </c>
      <c r="G135" s="2" t="s">
        <v>25</v>
      </c>
      <c r="H135" s="2" t="s">
        <v>26</v>
      </c>
      <c r="I135" s="2" t="s">
        <v>27</v>
      </c>
      <c r="J135" s="2" t="s">
        <v>28</v>
      </c>
      <c r="K135" s="2" t="s">
        <v>48</v>
      </c>
      <c r="L135" s="2" t="s">
        <v>61</v>
      </c>
      <c r="M135" s="2" t="s">
        <v>31</v>
      </c>
      <c r="N135" s="2" t="s">
        <v>645</v>
      </c>
      <c r="O135" s="22" t="s">
        <v>34</v>
      </c>
      <c r="P135" s="22" t="s">
        <v>34</v>
      </c>
    </row>
    <row r="136" spans="1:16" ht="24">
      <c r="A136" s="14" t="s">
        <v>641</v>
      </c>
      <c r="B136" s="2" t="s">
        <v>646</v>
      </c>
      <c r="C136" s="2" t="s">
        <v>647</v>
      </c>
      <c r="D136" s="2" t="s">
        <v>61</v>
      </c>
      <c r="E136" s="2" t="s">
        <v>23</v>
      </c>
      <c r="F136" s="2" t="s">
        <v>648</v>
      </c>
      <c r="G136" s="2" t="s">
        <v>23</v>
      </c>
      <c r="H136" s="2" t="s">
        <v>649</v>
      </c>
      <c r="I136" s="2" t="s">
        <v>27</v>
      </c>
      <c r="J136" s="2" t="s">
        <v>28</v>
      </c>
      <c r="K136" s="2" t="s">
        <v>48</v>
      </c>
      <c r="L136" s="2" t="s">
        <v>61</v>
      </c>
      <c r="M136" s="2" t="s">
        <v>31</v>
      </c>
      <c r="N136" s="2" t="s">
        <v>650</v>
      </c>
      <c r="O136" s="22" t="s">
        <v>34</v>
      </c>
      <c r="P136" s="22" t="s">
        <v>34</v>
      </c>
    </row>
    <row r="137" spans="1:16" ht="36">
      <c r="A137" s="14" t="s">
        <v>641</v>
      </c>
      <c r="B137" s="2" t="s">
        <v>651</v>
      </c>
      <c r="C137" s="2" t="s">
        <v>652</v>
      </c>
      <c r="D137" s="2" t="s">
        <v>61</v>
      </c>
      <c r="E137" s="2" t="s">
        <v>23</v>
      </c>
      <c r="F137" s="2" t="s">
        <v>653</v>
      </c>
      <c r="G137" s="2" t="s">
        <v>23</v>
      </c>
      <c r="H137" s="2" t="s">
        <v>495</v>
      </c>
      <c r="I137" s="2" t="s">
        <v>27</v>
      </c>
      <c r="J137" s="2" t="s">
        <v>28</v>
      </c>
      <c r="K137" s="2" t="s">
        <v>48</v>
      </c>
      <c r="L137" s="2" t="s">
        <v>234</v>
      </c>
      <c r="M137" s="2" t="s">
        <v>31</v>
      </c>
      <c r="N137" s="2" t="s">
        <v>654</v>
      </c>
      <c r="O137" s="22" t="s">
        <v>34</v>
      </c>
      <c r="P137" s="22" t="s">
        <v>78</v>
      </c>
    </row>
    <row r="138" spans="1:16" ht="36">
      <c r="A138" s="14" t="s">
        <v>641</v>
      </c>
      <c r="B138" s="2" t="s">
        <v>655</v>
      </c>
      <c r="C138" s="2" t="s">
        <v>656</v>
      </c>
      <c r="D138" s="2" t="s">
        <v>61</v>
      </c>
      <c r="E138" s="2" t="s">
        <v>23</v>
      </c>
      <c r="F138" s="2" t="s">
        <v>657</v>
      </c>
      <c r="G138" s="2" t="s">
        <v>23</v>
      </c>
      <c r="H138" s="2" t="s">
        <v>60</v>
      </c>
      <c r="I138" s="2" t="s">
        <v>27</v>
      </c>
      <c r="J138" s="2" t="s">
        <v>28</v>
      </c>
      <c r="K138" s="2" t="s">
        <v>48</v>
      </c>
      <c r="L138" s="2" t="s">
        <v>61</v>
      </c>
      <c r="M138" s="2" t="s">
        <v>31</v>
      </c>
      <c r="N138" s="2" t="s">
        <v>658</v>
      </c>
      <c r="O138" s="22" t="s">
        <v>34</v>
      </c>
      <c r="P138" s="22" t="s">
        <v>63</v>
      </c>
    </row>
    <row r="139" spans="1:16" ht="48">
      <c r="A139" s="14" t="s">
        <v>641</v>
      </c>
      <c r="B139" s="2" t="s">
        <v>659</v>
      </c>
      <c r="C139" s="2" t="s">
        <v>660</v>
      </c>
      <c r="D139" s="2" t="s">
        <v>61</v>
      </c>
      <c r="E139" s="2" t="s">
        <v>23</v>
      </c>
      <c r="F139" s="2" t="s">
        <v>661</v>
      </c>
      <c r="G139" s="2" t="s">
        <v>23</v>
      </c>
      <c r="H139" s="2" t="s">
        <v>495</v>
      </c>
      <c r="I139" s="2" t="s">
        <v>27</v>
      </c>
      <c r="J139" s="2" t="s">
        <v>28</v>
      </c>
      <c r="K139" s="2" t="s">
        <v>48</v>
      </c>
      <c r="L139" s="2" t="s">
        <v>61</v>
      </c>
      <c r="M139" s="2" t="s">
        <v>31</v>
      </c>
      <c r="N139" s="2" t="s">
        <v>662</v>
      </c>
      <c r="O139" s="22" t="s">
        <v>34</v>
      </c>
      <c r="P139" s="22" t="s">
        <v>78</v>
      </c>
    </row>
    <row r="140" spans="1:16" ht="24">
      <c r="A140" s="14" t="s">
        <v>641</v>
      </c>
      <c r="B140" s="2" t="s">
        <v>663</v>
      </c>
      <c r="C140" s="2" t="s">
        <v>664</v>
      </c>
      <c r="D140" s="2" t="s">
        <v>61</v>
      </c>
      <c r="E140" s="2" t="s">
        <v>23</v>
      </c>
      <c r="F140" s="2" t="s">
        <v>665</v>
      </c>
      <c r="G140" s="2" t="s">
        <v>23</v>
      </c>
      <c r="H140" s="2" t="s">
        <v>495</v>
      </c>
      <c r="I140" s="2" t="s">
        <v>27</v>
      </c>
      <c r="J140" s="2" t="s">
        <v>28</v>
      </c>
      <c r="K140" s="2" t="s">
        <v>48</v>
      </c>
      <c r="L140" s="2" t="s">
        <v>61</v>
      </c>
      <c r="M140" s="2" t="s">
        <v>31</v>
      </c>
      <c r="N140" s="2" t="s">
        <v>666</v>
      </c>
      <c r="O140" s="22" t="s">
        <v>34</v>
      </c>
      <c r="P140" s="22" t="s">
        <v>78</v>
      </c>
    </row>
    <row r="141" spans="1:16" ht="24">
      <c r="A141" s="14" t="s">
        <v>641</v>
      </c>
      <c r="B141" s="2" t="s">
        <v>667</v>
      </c>
      <c r="C141" s="2" t="s">
        <v>668</v>
      </c>
      <c r="D141" s="2" t="s">
        <v>61</v>
      </c>
      <c r="E141" s="2" t="s">
        <v>23</v>
      </c>
      <c r="F141" s="2" t="s">
        <v>669</v>
      </c>
      <c r="G141" s="2" t="s">
        <v>25</v>
      </c>
      <c r="H141" s="2" t="s">
        <v>38</v>
      </c>
      <c r="I141" s="2" t="s">
        <v>67</v>
      </c>
      <c r="J141" s="2" t="s">
        <v>68</v>
      </c>
      <c r="K141" s="2" t="s">
        <v>48</v>
      </c>
      <c r="L141" s="2" t="s">
        <v>61</v>
      </c>
      <c r="M141" s="2" t="s">
        <v>69</v>
      </c>
      <c r="N141" s="2" t="s">
        <v>670</v>
      </c>
      <c r="O141" s="22" t="s">
        <v>78</v>
      </c>
      <c r="P141" s="22" t="s">
        <v>72</v>
      </c>
    </row>
    <row r="142" spans="1:16" ht="48">
      <c r="A142" s="14" t="s">
        <v>641</v>
      </c>
      <c r="B142" s="2" t="s">
        <v>671</v>
      </c>
      <c r="C142" s="2" t="s">
        <v>672</v>
      </c>
      <c r="D142" s="2" t="s">
        <v>61</v>
      </c>
      <c r="E142" s="2" t="s">
        <v>26</v>
      </c>
      <c r="F142" s="2" t="s">
        <v>673</v>
      </c>
      <c r="G142" s="2" t="s">
        <v>26</v>
      </c>
      <c r="H142" s="2" t="s">
        <v>674</v>
      </c>
      <c r="I142" s="2" t="s">
        <v>380</v>
      </c>
      <c r="J142" s="2" t="s">
        <v>28</v>
      </c>
      <c r="K142" s="2" t="s">
        <v>48</v>
      </c>
      <c r="L142" s="2" t="s">
        <v>61</v>
      </c>
      <c r="M142" s="2" t="s">
        <v>69</v>
      </c>
      <c r="N142" s="2" t="s">
        <v>675</v>
      </c>
      <c r="O142" s="22" t="s">
        <v>676</v>
      </c>
      <c r="P142" s="22" t="s">
        <v>63</v>
      </c>
    </row>
    <row r="143" spans="1:16" ht="24">
      <c r="A143" s="14" t="s">
        <v>641</v>
      </c>
      <c r="B143" s="2" t="s">
        <v>677</v>
      </c>
      <c r="C143" s="2" t="s">
        <v>678</v>
      </c>
      <c r="D143" s="2" t="s">
        <v>61</v>
      </c>
      <c r="E143" s="2" t="s">
        <v>23</v>
      </c>
      <c r="F143" s="2" t="s">
        <v>679</v>
      </c>
      <c r="G143" s="2" t="s">
        <v>25</v>
      </c>
      <c r="H143" s="2" t="s">
        <v>26</v>
      </c>
      <c r="I143" s="2" t="s">
        <v>27</v>
      </c>
      <c r="J143" s="2" t="s">
        <v>68</v>
      </c>
      <c r="K143" s="2" t="s">
        <v>48</v>
      </c>
      <c r="L143" s="2" t="s">
        <v>75</v>
      </c>
      <c r="M143" s="2" t="s">
        <v>31</v>
      </c>
      <c r="N143" s="2" t="s">
        <v>680</v>
      </c>
      <c r="O143" s="22" t="s">
        <v>78</v>
      </c>
      <c r="P143" s="22" t="s">
        <v>123</v>
      </c>
    </row>
    <row r="144" spans="1:16" ht="24">
      <c r="A144" s="14" t="s">
        <v>641</v>
      </c>
      <c r="B144" s="2" t="s">
        <v>681</v>
      </c>
      <c r="C144" s="2" t="s">
        <v>682</v>
      </c>
      <c r="D144" s="2" t="s">
        <v>120</v>
      </c>
      <c r="E144" s="2" t="s">
        <v>23</v>
      </c>
      <c r="F144" s="2" t="s">
        <v>683</v>
      </c>
      <c r="G144" s="2" t="s">
        <v>23</v>
      </c>
      <c r="H144" s="2" t="s">
        <v>503</v>
      </c>
      <c r="I144" s="2" t="s">
        <v>27</v>
      </c>
      <c r="J144" s="2" t="s">
        <v>28</v>
      </c>
      <c r="K144" s="2" t="s">
        <v>29</v>
      </c>
      <c r="L144" s="2" t="s">
        <v>120</v>
      </c>
      <c r="M144" s="2" t="s">
        <v>31</v>
      </c>
      <c r="N144" s="2" t="s">
        <v>684</v>
      </c>
      <c r="O144" s="22" t="s">
        <v>78</v>
      </c>
      <c r="P144" s="22" t="s">
        <v>123</v>
      </c>
    </row>
    <row r="145" spans="1:16" ht="36">
      <c r="A145" s="15" t="s">
        <v>685</v>
      </c>
      <c r="B145" s="2" t="s">
        <v>686</v>
      </c>
      <c r="C145" s="2" t="s">
        <v>687</v>
      </c>
      <c r="D145" s="2" t="s">
        <v>688</v>
      </c>
      <c r="E145" s="2" t="s">
        <v>23</v>
      </c>
      <c r="F145" s="2" t="s">
        <v>689</v>
      </c>
      <c r="G145" s="2" t="s">
        <v>23</v>
      </c>
      <c r="H145" s="2" t="s">
        <v>690</v>
      </c>
      <c r="I145" s="2" t="s">
        <v>27</v>
      </c>
      <c r="J145" s="2" t="s">
        <v>28</v>
      </c>
      <c r="K145" s="2" t="s">
        <v>48</v>
      </c>
      <c r="L145" s="2" t="s">
        <v>142</v>
      </c>
      <c r="M145" s="2" t="s">
        <v>31</v>
      </c>
      <c r="N145" s="2" t="s">
        <v>691</v>
      </c>
      <c r="O145" s="22" t="s">
        <v>34</v>
      </c>
      <c r="P145" s="22" t="s">
        <v>34</v>
      </c>
    </row>
    <row r="146" spans="1:16" ht="36">
      <c r="A146" s="15" t="s">
        <v>685</v>
      </c>
      <c r="B146" s="2" t="s">
        <v>692</v>
      </c>
      <c r="C146" s="2" t="s">
        <v>693</v>
      </c>
      <c r="D146" s="2" t="s">
        <v>688</v>
      </c>
      <c r="E146" s="2" t="s">
        <v>23</v>
      </c>
      <c r="F146" s="2" t="s">
        <v>694</v>
      </c>
      <c r="G146" s="2" t="s">
        <v>23</v>
      </c>
      <c r="H146" s="2" t="s">
        <v>690</v>
      </c>
      <c r="I146" s="2" t="s">
        <v>27</v>
      </c>
      <c r="J146" s="2" t="s">
        <v>28</v>
      </c>
      <c r="K146" s="2" t="s">
        <v>48</v>
      </c>
      <c r="L146" s="2" t="s">
        <v>46</v>
      </c>
      <c r="M146" s="2" t="s">
        <v>31</v>
      </c>
      <c r="N146" s="2" t="s">
        <v>695</v>
      </c>
      <c r="O146" s="22" t="s">
        <v>34</v>
      </c>
      <c r="P146" s="22" t="s">
        <v>78</v>
      </c>
    </row>
    <row r="147" spans="1:16" ht="36">
      <c r="A147" s="15" t="s">
        <v>685</v>
      </c>
      <c r="B147" s="2" t="s">
        <v>696</v>
      </c>
      <c r="C147" s="2" t="s">
        <v>697</v>
      </c>
      <c r="D147" s="2" t="s">
        <v>688</v>
      </c>
      <c r="E147" s="2" t="s">
        <v>23</v>
      </c>
      <c r="F147" s="2" t="s">
        <v>698</v>
      </c>
      <c r="G147" s="2" t="s">
        <v>23</v>
      </c>
      <c r="H147" s="2" t="s">
        <v>690</v>
      </c>
      <c r="I147" s="2" t="s">
        <v>27</v>
      </c>
      <c r="J147" s="2" t="s">
        <v>28</v>
      </c>
      <c r="K147" s="2" t="s">
        <v>48</v>
      </c>
      <c r="L147" s="2" t="s">
        <v>46</v>
      </c>
      <c r="M147" s="2" t="s">
        <v>31</v>
      </c>
      <c r="N147" s="2" t="s">
        <v>699</v>
      </c>
      <c r="O147" s="22" t="s">
        <v>34</v>
      </c>
      <c r="P147" s="22" t="s">
        <v>78</v>
      </c>
    </row>
    <row r="148" spans="1:16" ht="48">
      <c r="A148" s="15" t="s">
        <v>685</v>
      </c>
      <c r="B148" s="2" t="s">
        <v>700</v>
      </c>
      <c r="C148" s="2" t="s">
        <v>701</v>
      </c>
      <c r="D148" s="2" t="s">
        <v>688</v>
      </c>
      <c r="E148" s="2" t="s">
        <v>23</v>
      </c>
      <c r="F148" s="2" t="s">
        <v>702</v>
      </c>
      <c r="G148" s="2" t="s">
        <v>23</v>
      </c>
      <c r="H148" s="2" t="s">
        <v>690</v>
      </c>
      <c r="I148" s="2" t="s">
        <v>27</v>
      </c>
      <c r="J148" s="2" t="s">
        <v>28</v>
      </c>
      <c r="K148" s="2" t="s">
        <v>54</v>
      </c>
      <c r="L148" s="2" t="s">
        <v>46</v>
      </c>
      <c r="M148" s="2" t="s">
        <v>31</v>
      </c>
      <c r="N148" s="2" t="s">
        <v>703</v>
      </c>
      <c r="O148" s="22" t="s">
        <v>34</v>
      </c>
      <c r="P148" s="22" t="s">
        <v>123</v>
      </c>
    </row>
    <row r="149" spans="1:16" ht="24">
      <c r="A149" s="15" t="s">
        <v>685</v>
      </c>
      <c r="B149" s="2" t="s">
        <v>704</v>
      </c>
      <c r="C149" s="2" t="s">
        <v>705</v>
      </c>
      <c r="D149" s="2" t="s">
        <v>688</v>
      </c>
      <c r="E149" s="2" t="s">
        <v>23</v>
      </c>
      <c r="F149" s="2" t="s">
        <v>706</v>
      </c>
      <c r="G149" s="2" t="s">
        <v>25</v>
      </c>
      <c r="H149" s="2" t="s">
        <v>38</v>
      </c>
      <c r="I149" s="2" t="s">
        <v>67</v>
      </c>
      <c r="J149" s="2" t="s">
        <v>68</v>
      </c>
      <c r="K149" s="2" t="s">
        <v>54</v>
      </c>
      <c r="L149" s="2" t="s">
        <v>52</v>
      </c>
      <c r="M149" s="2" t="s">
        <v>31</v>
      </c>
      <c r="N149" s="2" t="s">
        <v>707</v>
      </c>
      <c r="O149" s="22" t="s">
        <v>123</v>
      </c>
      <c r="P149" s="22" t="s">
        <v>72</v>
      </c>
    </row>
    <row r="150" spans="1:16" ht="24">
      <c r="A150" s="15" t="s">
        <v>685</v>
      </c>
      <c r="B150" s="2" t="s">
        <v>708</v>
      </c>
      <c r="C150" s="2" t="s">
        <v>709</v>
      </c>
      <c r="D150" s="2" t="s">
        <v>688</v>
      </c>
      <c r="E150" s="2" t="s">
        <v>25</v>
      </c>
      <c r="F150" s="2" t="s">
        <v>38</v>
      </c>
      <c r="G150" s="2" t="s">
        <v>25</v>
      </c>
      <c r="H150" s="2" t="s">
        <v>26</v>
      </c>
      <c r="I150" s="2" t="s">
        <v>72</v>
      </c>
      <c r="J150" s="2" t="s">
        <v>68</v>
      </c>
      <c r="K150" s="2" t="s">
        <v>54</v>
      </c>
      <c r="L150" s="2" t="s">
        <v>46</v>
      </c>
      <c r="M150" s="2" t="s">
        <v>69</v>
      </c>
      <c r="N150" s="2" t="s">
        <v>710</v>
      </c>
      <c r="O150" s="22" t="s">
        <v>170</v>
      </c>
      <c r="P150" s="22" t="s">
        <v>72</v>
      </c>
    </row>
    <row r="151" spans="1:16" ht="36">
      <c r="A151" s="15" t="s">
        <v>685</v>
      </c>
      <c r="B151" s="2" t="s">
        <v>711</v>
      </c>
      <c r="C151" s="2" t="s">
        <v>712</v>
      </c>
      <c r="D151" s="2" t="s">
        <v>688</v>
      </c>
      <c r="E151" s="2" t="s">
        <v>23</v>
      </c>
      <c r="F151" s="2" t="s">
        <v>713</v>
      </c>
      <c r="G151" s="2" t="s">
        <v>23</v>
      </c>
      <c r="H151" s="2" t="s">
        <v>690</v>
      </c>
      <c r="I151" s="2" t="s">
        <v>27</v>
      </c>
      <c r="J151" s="2" t="s">
        <v>28</v>
      </c>
      <c r="K151" s="2" t="s">
        <v>48</v>
      </c>
      <c r="L151" s="2" t="s">
        <v>46</v>
      </c>
      <c r="M151" s="2" t="s">
        <v>31</v>
      </c>
      <c r="N151" s="2" t="s">
        <v>714</v>
      </c>
      <c r="O151" s="22" t="s">
        <v>34</v>
      </c>
      <c r="P151" s="22" t="s">
        <v>78</v>
      </c>
    </row>
    <row r="152" spans="1:16" ht="24">
      <c r="A152" s="15" t="s">
        <v>685</v>
      </c>
      <c r="B152" s="2" t="s">
        <v>715</v>
      </c>
      <c r="C152" s="2" t="s">
        <v>716</v>
      </c>
      <c r="D152" s="2" t="s">
        <v>688</v>
      </c>
      <c r="E152" s="2" t="s">
        <v>23</v>
      </c>
      <c r="F152" s="2" t="s">
        <v>717</v>
      </c>
      <c r="G152" s="2" t="s">
        <v>23</v>
      </c>
      <c r="H152" s="2" t="s">
        <v>690</v>
      </c>
      <c r="I152" s="2" t="s">
        <v>27</v>
      </c>
      <c r="J152" s="2" t="s">
        <v>68</v>
      </c>
      <c r="K152" s="2" t="s">
        <v>48</v>
      </c>
      <c r="L152" s="2" t="s">
        <v>46</v>
      </c>
      <c r="M152" s="2" t="s">
        <v>31</v>
      </c>
      <c r="N152" s="2" t="s">
        <v>718</v>
      </c>
      <c r="O152" s="22" t="s">
        <v>34</v>
      </c>
      <c r="P152" s="22" t="s">
        <v>78</v>
      </c>
    </row>
    <row r="153" spans="1:16" ht="24">
      <c r="A153" s="15" t="s">
        <v>685</v>
      </c>
      <c r="B153" s="2" t="s">
        <v>719</v>
      </c>
      <c r="C153" s="2" t="s">
        <v>720</v>
      </c>
      <c r="D153" s="2" t="s">
        <v>120</v>
      </c>
      <c r="E153" s="2" t="s">
        <v>23</v>
      </c>
      <c r="F153" s="2" t="s">
        <v>690</v>
      </c>
      <c r="G153" s="2" t="s">
        <v>23</v>
      </c>
      <c r="H153" s="2" t="s">
        <v>721</v>
      </c>
      <c r="I153" s="2" t="s">
        <v>27</v>
      </c>
      <c r="J153" s="2" t="s">
        <v>28</v>
      </c>
      <c r="K153" s="2" t="s">
        <v>29</v>
      </c>
      <c r="L153" s="2" t="s">
        <v>120</v>
      </c>
      <c r="M153" s="2" t="s">
        <v>31</v>
      </c>
      <c r="N153" s="2" t="s">
        <v>722</v>
      </c>
      <c r="O153" s="22" t="s">
        <v>78</v>
      </c>
      <c r="P153" s="22" t="s">
        <v>123</v>
      </c>
    </row>
    <row r="154" spans="1:16" ht="24">
      <c r="A154" s="15" t="s">
        <v>685</v>
      </c>
      <c r="B154" s="2" t="s">
        <v>723</v>
      </c>
      <c r="C154" s="2" t="s">
        <v>724</v>
      </c>
      <c r="D154" s="2" t="s">
        <v>120</v>
      </c>
      <c r="E154" s="2" t="s">
        <v>23</v>
      </c>
      <c r="F154" s="2" t="s">
        <v>690</v>
      </c>
      <c r="G154" s="2" t="s">
        <v>23</v>
      </c>
      <c r="H154" s="2" t="s">
        <v>721</v>
      </c>
      <c r="I154" s="2" t="s">
        <v>27</v>
      </c>
      <c r="J154" s="2" t="s">
        <v>28</v>
      </c>
      <c r="K154" s="2" t="s">
        <v>29</v>
      </c>
      <c r="L154" s="2" t="s">
        <v>120</v>
      </c>
      <c r="M154" s="2" t="s">
        <v>31</v>
      </c>
      <c r="N154" s="2" t="s">
        <v>725</v>
      </c>
      <c r="O154" s="22" t="s">
        <v>78</v>
      </c>
      <c r="P154" s="22" t="s">
        <v>123</v>
      </c>
    </row>
    <row r="155" spans="1:16" ht="36">
      <c r="A155" s="16" t="s">
        <v>726</v>
      </c>
      <c r="B155" s="2" t="s">
        <v>727</v>
      </c>
      <c r="C155" s="2" t="s">
        <v>728</v>
      </c>
      <c r="D155" s="2" t="s">
        <v>729</v>
      </c>
      <c r="E155" s="2" t="s">
        <v>23</v>
      </c>
      <c r="F155" s="2" t="s">
        <v>730</v>
      </c>
      <c r="G155" s="2" t="s">
        <v>23</v>
      </c>
      <c r="H155" s="2" t="s">
        <v>690</v>
      </c>
      <c r="I155" s="2" t="s">
        <v>27</v>
      </c>
      <c r="J155" s="2" t="s">
        <v>28</v>
      </c>
      <c r="K155" s="2" t="s">
        <v>48</v>
      </c>
      <c r="L155" s="2" t="s">
        <v>142</v>
      </c>
      <c r="M155" s="2" t="s">
        <v>31</v>
      </c>
      <c r="N155" s="2" t="s">
        <v>731</v>
      </c>
      <c r="O155" s="22" t="s">
        <v>34</v>
      </c>
      <c r="P155" s="22" t="s">
        <v>34</v>
      </c>
    </row>
    <row r="156" spans="1:16" ht="48">
      <c r="A156" s="16" t="s">
        <v>726</v>
      </c>
      <c r="B156" s="2" t="s">
        <v>732</v>
      </c>
      <c r="C156" s="2" t="s">
        <v>733</v>
      </c>
      <c r="D156" s="2" t="s">
        <v>729</v>
      </c>
      <c r="E156" s="2" t="s">
        <v>23</v>
      </c>
      <c r="F156" s="2" t="s">
        <v>734</v>
      </c>
      <c r="G156" s="2" t="s">
        <v>23</v>
      </c>
      <c r="H156" s="2" t="s">
        <v>690</v>
      </c>
      <c r="I156" s="2" t="s">
        <v>27</v>
      </c>
      <c r="J156" s="2" t="s">
        <v>28</v>
      </c>
      <c r="K156" s="2" t="s">
        <v>54</v>
      </c>
      <c r="L156" s="2" t="s">
        <v>46</v>
      </c>
      <c r="M156" s="2" t="s">
        <v>31</v>
      </c>
      <c r="N156" s="2" t="s">
        <v>735</v>
      </c>
      <c r="O156" s="22" t="s">
        <v>34</v>
      </c>
      <c r="P156" s="22" t="s">
        <v>78</v>
      </c>
    </row>
    <row r="157" spans="1:16" ht="24">
      <c r="A157" s="16" t="s">
        <v>726</v>
      </c>
      <c r="B157" s="2" t="s">
        <v>736</v>
      </c>
      <c r="C157" s="2" t="s">
        <v>737</v>
      </c>
      <c r="D157" s="2" t="s">
        <v>729</v>
      </c>
      <c r="E157" s="2" t="s">
        <v>23</v>
      </c>
      <c r="F157" s="2" t="s">
        <v>738</v>
      </c>
      <c r="G157" s="2" t="s">
        <v>23</v>
      </c>
      <c r="H157" s="2" t="s">
        <v>690</v>
      </c>
      <c r="I157" s="2" t="s">
        <v>67</v>
      </c>
      <c r="J157" s="2" t="s">
        <v>68</v>
      </c>
      <c r="K157" s="2" t="s">
        <v>48</v>
      </c>
      <c r="L157" s="2" t="s">
        <v>46</v>
      </c>
      <c r="M157" s="2" t="s">
        <v>31</v>
      </c>
      <c r="N157" s="2" t="s">
        <v>739</v>
      </c>
      <c r="O157" s="22" t="s">
        <v>78</v>
      </c>
      <c r="P157" s="22" t="s">
        <v>72</v>
      </c>
    </row>
    <row r="158" spans="1:16" ht="24">
      <c r="A158" s="16" t="s">
        <v>726</v>
      </c>
      <c r="B158" s="2" t="s">
        <v>740</v>
      </c>
      <c r="C158" s="2" t="s">
        <v>741</v>
      </c>
      <c r="D158" s="2" t="s">
        <v>729</v>
      </c>
      <c r="E158" s="2" t="s">
        <v>23</v>
      </c>
      <c r="F158" s="2" t="s">
        <v>742</v>
      </c>
      <c r="G158" s="2" t="s">
        <v>23</v>
      </c>
      <c r="H158" s="2" t="s">
        <v>690</v>
      </c>
      <c r="I158" s="2" t="s">
        <v>27</v>
      </c>
      <c r="J158" s="2" t="s">
        <v>68</v>
      </c>
      <c r="K158" s="2" t="s">
        <v>48</v>
      </c>
      <c r="L158" s="2" t="s">
        <v>46</v>
      </c>
      <c r="M158" s="2" t="s">
        <v>31</v>
      </c>
      <c r="N158" s="2" t="s">
        <v>743</v>
      </c>
      <c r="O158" s="22" t="s">
        <v>34</v>
      </c>
      <c r="P158" s="22" t="s">
        <v>78</v>
      </c>
    </row>
    <row r="159" spans="1:16" ht="24">
      <c r="A159" s="16" t="s">
        <v>726</v>
      </c>
      <c r="B159" s="2" t="s">
        <v>744</v>
      </c>
      <c r="C159" s="2" t="s">
        <v>745</v>
      </c>
      <c r="D159" s="2" t="s">
        <v>729</v>
      </c>
      <c r="E159" s="2" t="s">
        <v>23</v>
      </c>
      <c r="F159" s="2" t="s">
        <v>746</v>
      </c>
      <c r="G159" s="2" t="s">
        <v>23</v>
      </c>
      <c r="H159" s="2" t="s">
        <v>690</v>
      </c>
      <c r="I159" s="2" t="s">
        <v>67</v>
      </c>
      <c r="J159" s="2" t="s">
        <v>68</v>
      </c>
      <c r="K159" s="2" t="s">
        <v>54</v>
      </c>
      <c r="L159" s="2" t="s">
        <v>46</v>
      </c>
      <c r="M159" s="2" t="s">
        <v>31</v>
      </c>
      <c r="N159" s="2" t="s">
        <v>747</v>
      </c>
      <c r="O159" s="22" t="s">
        <v>78</v>
      </c>
      <c r="P159" s="22" t="s">
        <v>72</v>
      </c>
    </row>
    <row r="160" spans="1:16" ht="36">
      <c r="A160" s="16" t="s">
        <v>726</v>
      </c>
      <c r="B160" s="2" t="s">
        <v>748</v>
      </c>
      <c r="C160" s="2" t="s">
        <v>749</v>
      </c>
      <c r="D160" s="2" t="s">
        <v>729</v>
      </c>
      <c r="E160" s="2" t="s">
        <v>23</v>
      </c>
      <c r="F160" s="2" t="s">
        <v>750</v>
      </c>
      <c r="G160" s="2" t="s">
        <v>23</v>
      </c>
      <c r="H160" s="2" t="s">
        <v>690</v>
      </c>
      <c r="I160" s="2" t="s">
        <v>27</v>
      </c>
      <c r="J160" s="2" t="s">
        <v>28</v>
      </c>
      <c r="K160" s="2" t="s">
        <v>48</v>
      </c>
      <c r="L160" s="2" t="s">
        <v>46</v>
      </c>
      <c r="M160" s="2" t="s">
        <v>31</v>
      </c>
      <c r="N160" s="2" t="s">
        <v>751</v>
      </c>
      <c r="O160" s="22" t="s">
        <v>34</v>
      </c>
      <c r="P160" s="22" t="s">
        <v>78</v>
      </c>
    </row>
    <row r="161" spans="1:16" ht="48">
      <c r="A161" s="16" t="s">
        <v>726</v>
      </c>
      <c r="B161" s="2" t="s">
        <v>752</v>
      </c>
      <c r="C161" s="2" t="s">
        <v>753</v>
      </c>
      <c r="D161" s="2" t="s">
        <v>729</v>
      </c>
      <c r="E161" s="2" t="s">
        <v>23</v>
      </c>
      <c r="F161" s="2" t="s">
        <v>754</v>
      </c>
      <c r="G161" s="2" t="s">
        <v>25</v>
      </c>
      <c r="H161" s="2" t="s">
        <v>38</v>
      </c>
      <c r="I161" s="2" t="s">
        <v>67</v>
      </c>
      <c r="J161" s="2" t="s">
        <v>68</v>
      </c>
      <c r="K161" s="2" t="s">
        <v>54</v>
      </c>
      <c r="L161" s="2" t="s">
        <v>52</v>
      </c>
      <c r="M161" s="2" t="s">
        <v>31</v>
      </c>
      <c r="N161" s="2" t="s">
        <v>755</v>
      </c>
      <c r="O161" s="22" t="s">
        <v>123</v>
      </c>
      <c r="P161" s="22" t="s">
        <v>72</v>
      </c>
    </row>
    <row r="162" spans="1:16" ht="48">
      <c r="A162" s="16" t="s">
        <v>726</v>
      </c>
      <c r="B162" s="2" t="s">
        <v>756</v>
      </c>
      <c r="C162" s="2" t="s">
        <v>757</v>
      </c>
      <c r="D162" s="2" t="s">
        <v>729</v>
      </c>
      <c r="E162" s="2" t="s">
        <v>23</v>
      </c>
      <c r="F162" s="2" t="s">
        <v>758</v>
      </c>
      <c r="G162" s="2" t="s">
        <v>23</v>
      </c>
      <c r="H162" s="2" t="s">
        <v>690</v>
      </c>
      <c r="I162" s="2" t="s">
        <v>27</v>
      </c>
      <c r="J162" s="2" t="s">
        <v>28</v>
      </c>
      <c r="K162" s="2" t="s">
        <v>48</v>
      </c>
      <c r="L162" s="2" t="s">
        <v>46</v>
      </c>
      <c r="M162" s="2" t="s">
        <v>31</v>
      </c>
      <c r="N162" s="2" t="s">
        <v>759</v>
      </c>
      <c r="O162" s="22" t="s">
        <v>78</v>
      </c>
      <c r="P162" s="22" t="s">
        <v>123</v>
      </c>
    </row>
    <row r="163" spans="1:16" ht="48">
      <c r="A163" s="16" t="s">
        <v>726</v>
      </c>
      <c r="B163" s="2" t="s">
        <v>760</v>
      </c>
      <c r="C163" s="2" t="s">
        <v>761</v>
      </c>
      <c r="D163" s="2" t="s">
        <v>729</v>
      </c>
      <c r="E163" s="2" t="s">
        <v>23</v>
      </c>
      <c r="F163" s="2" t="s">
        <v>762</v>
      </c>
      <c r="G163" s="2" t="s">
        <v>23</v>
      </c>
      <c r="H163" s="2" t="s">
        <v>690</v>
      </c>
      <c r="I163" s="2" t="s">
        <v>27</v>
      </c>
      <c r="J163" s="2" t="s">
        <v>28</v>
      </c>
      <c r="K163" s="2" t="s">
        <v>48</v>
      </c>
      <c r="L163" s="2" t="s">
        <v>46</v>
      </c>
      <c r="M163" s="2" t="s">
        <v>31</v>
      </c>
      <c r="N163" s="2" t="s">
        <v>763</v>
      </c>
      <c r="O163" s="22" t="s">
        <v>78</v>
      </c>
      <c r="P163" s="22" t="s">
        <v>123</v>
      </c>
    </row>
    <row r="164" spans="1:16" ht="24">
      <c r="A164" s="16" t="s">
        <v>726</v>
      </c>
      <c r="B164" s="2" t="s">
        <v>764</v>
      </c>
      <c r="C164" s="2" t="s">
        <v>765</v>
      </c>
      <c r="D164" s="2" t="s">
        <v>120</v>
      </c>
      <c r="E164" s="2" t="s">
        <v>23</v>
      </c>
      <c r="F164" s="2" t="s">
        <v>766</v>
      </c>
      <c r="G164" s="2" t="s">
        <v>23</v>
      </c>
      <c r="H164" s="2" t="s">
        <v>721</v>
      </c>
      <c r="I164" s="2" t="s">
        <v>27</v>
      </c>
      <c r="J164" s="2" t="s">
        <v>28</v>
      </c>
      <c r="K164" s="2" t="s">
        <v>29</v>
      </c>
      <c r="L164" s="2" t="s">
        <v>120</v>
      </c>
      <c r="M164" s="2" t="s">
        <v>31</v>
      </c>
      <c r="N164" s="2" t="s">
        <v>767</v>
      </c>
      <c r="O164" s="22" t="s">
        <v>78</v>
      </c>
      <c r="P164" s="22" t="s">
        <v>123</v>
      </c>
    </row>
    <row r="165" spans="1:16" ht="24">
      <c r="A165" s="17" t="s">
        <v>768</v>
      </c>
      <c r="B165" s="2" t="s">
        <v>769</v>
      </c>
      <c r="C165" s="2" t="s">
        <v>770</v>
      </c>
      <c r="D165" s="2" t="s">
        <v>771</v>
      </c>
      <c r="E165" s="2" t="s">
        <v>23</v>
      </c>
      <c r="F165" s="2" t="s">
        <v>772</v>
      </c>
      <c r="G165" s="2" t="s">
        <v>23</v>
      </c>
      <c r="H165" s="2" t="s">
        <v>773</v>
      </c>
      <c r="I165" s="2" t="s">
        <v>27</v>
      </c>
      <c r="J165" s="2" t="s">
        <v>28</v>
      </c>
      <c r="K165" s="2" t="s">
        <v>48</v>
      </c>
      <c r="L165" s="2" t="s">
        <v>46</v>
      </c>
      <c r="M165" s="2" t="s">
        <v>31</v>
      </c>
      <c r="N165" s="2" t="s">
        <v>774</v>
      </c>
      <c r="O165" s="22" t="s">
        <v>71</v>
      </c>
      <c r="P165" s="22" t="s">
        <v>123</v>
      </c>
    </row>
    <row r="166" spans="1:16" ht="36">
      <c r="A166" s="17" t="s">
        <v>768</v>
      </c>
      <c r="B166" s="2" t="s">
        <v>775</v>
      </c>
      <c r="C166" s="2" t="s">
        <v>776</v>
      </c>
      <c r="D166" s="2" t="s">
        <v>771</v>
      </c>
      <c r="E166" s="2" t="s">
        <v>23</v>
      </c>
      <c r="F166" s="2" t="s">
        <v>777</v>
      </c>
      <c r="G166" s="2" t="s">
        <v>23</v>
      </c>
      <c r="H166" s="2" t="s">
        <v>778</v>
      </c>
      <c r="I166" s="2" t="s">
        <v>27</v>
      </c>
      <c r="J166" s="2" t="s">
        <v>28</v>
      </c>
      <c r="K166" s="2" t="s">
        <v>54</v>
      </c>
      <c r="L166" s="2" t="s">
        <v>46</v>
      </c>
      <c r="M166" s="2" t="s">
        <v>31</v>
      </c>
      <c r="N166" s="2" t="s">
        <v>779</v>
      </c>
      <c r="O166" s="22" t="s">
        <v>71</v>
      </c>
      <c r="P166" s="22" t="s">
        <v>123</v>
      </c>
    </row>
    <row r="167" spans="1:16" ht="36">
      <c r="A167" s="17" t="s">
        <v>768</v>
      </c>
      <c r="B167" s="2" t="s">
        <v>780</v>
      </c>
      <c r="C167" s="2" t="s">
        <v>781</v>
      </c>
      <c r="D167" s="2" t="s">
        <v>771</v>
      </c>
      <c r="E167" s="2" t="s">
        <v>23</v>
      </c>
      <c r="F167" s="2" t="s">
        <v>782</v>
      </c>
      <c r="G167" s="2" t="s">
        <v>23</v>
      </c>
      <c r="H167" s="2" t="s">
        <v>778</v>
      </c>
      <c r="I167" s="2" t="s">
        <v>27</v>
      </c>
      <c r="J167" s="2" t="s">
        <v>28</v>
      </c>
      <c r="K167" s="2" t="s">
        <v>54</v>
      </c>
      <c r="L167" s="2" t="s">
        <v>46</v>
      </c>
      <c r="M167" s="2" t="s">
        <v>31</v>
      </c>
      <c r="N167" s="2" t="s">
        <v>783</v>
      </c>
      <c r="O167" s="22" t="s">
        <v>71</v>
      </c>
      <c r="P167" s="22" t="s">
        <v>123</v>
      </c>
    </row>
    <row r="168" spans="1:16" ht="36">
      <c r="A168" s="17" t="s">
        <v>768</v>
      </c>
      <c r="B168" s="2" t="s">
        <v>784</v>
      </c>
      <c r="C168" s="2" t="s">
        <v>785</v>
      </c>
      <c r="D168" s="2" t="s">
        <v>771</v>
      </c>
      <c r="E168" s="2" t="s">
        <v>23</v>
      </c>
      <c r="F168" s="2" t="s">
        <v>786</v>
      </c>
      <c r="G168" s="2" t="s">
        <v>23</v>
      </c>
      <c r="H168" s="2" t="s">
        <v>778</v>
      </c>
      <c r="I168" s="2" t="s">
        <v>27</v>
      </c>
      <c r="J168" s="2" t="s">
        <v>28</v>
      </c>
      <c r="K168" s="2" t="s">
        <v>54</v>
      </c>
      <c r="L168" s="2" t="s">
        <v>46</v>
      </c>
      <c r="M168" s="2" t="s">
        <v>31</v>
      </c>
      <c r="N168" s="2" t="s">
        <v>787</v>
      </c>
      <c r="O168" s="22" t="s">
        <v>71</v>
      </c>
      <c r="P168" s="22" t="s">
        <v>123</v>
      </c>
    </row>
    <row r="169" spans="1:16" ht="24">
      <c r="A169" s="17" t="s">
        <v>768</v>
      </c>
      <c r="B169" s="2" t="s">
        <v>788</v>
      </c>
      <c r="C169" s="2" t="s">
        <v>789</v>
      </c>
      <c r="D169" s="2" t="s">
        <v>771</v>
      </c>
      <c r="E169" s="2" t="s">
        <v>23</v>
      </c>
      <c r="F169" s="2" t="s">
        <v>790</v>
      </c>
      <c r="G169" s="2" t="s">
        <v>23</v>
      </c>
      <c r="H169" s="2" t="s">
        <v>778</v>
      </c>
      <c r="I169" s="2" t="s">
        <v>27</v>
      </c>
      <c r="J169" s="2" t="s">
        <v>28</v>
      </c>
      <c r="K169" s="2" t="s">
        <v>54</v>
      </c>
      <c r="L169" s="2" t="s">
        <v>46</v>
      </c>
      <c r="M169" s="2" t="s">
        <v>31</v>
      </c>
      <c r="N169" s="2" t="s">
        <v>791</v>
      </c>
      <c r="O169" s="22" t="s">
        <v>71</v>
      </c>
      <c r="P169" s="22" t="s">
        <v>123</v>
      </c>
    </row>
    <row r="170" spans="1:16" ht="24">
      <c r="A170" s="17" t="s">
        <v>768</v>
      </c>
      <c r="B170" s="2" t="s">
        <v>792</v>
      </c>
      <c r="C170" s="2" t="s">
        <v>793</v>
      </c>
      <c r="D170" s="2" t="s">
        <v>771</v>
      </c>
      <c r="E170" s="2" t="s">
        <v>25</v>
      </c>
      <c r="F170" s="2" t="s">
        <v>38</v>
      </c>
      <c r="G170" s="2" t="s">
        <v>25</v>
      </c>
      <c r="H170" s="2" t="s">
        <v>26</v>
      </c>
      <c r="I170" s="2" t="s">
        <v>72</v>
      </c>
      <c r="J170" s="2" t="s">
        <v>68</v>
      </c>
      <c r="K170" s="2" t="s">
        <v>54</v>
      </c>
      <c r="L170" s="2" t="s">
        <v>46</v>
      </c>
      <c r="M170" s="2" t="s">
        <v>69</v>
      </c>
      <c r="N170" s="2" t="s">
        <v>794</v>
      </c>
      <c r="O170" s="22" t="s">
        <v>170</v>
      </c>
      <c r="P170" s="22" t="s">
        <v>72</v>
      </c>
    </row>
    <row r="171" spans="1:16" ht="24">
      <c r="A171" s="17" t="s">
        <v>768</v>
      </c>
      <c r="B171" s="2" t="s">
        <v>795</v>
      </c>
      <c r="C171" s="2" t="s">
        <v>796</v>
      </c>
      <c r="D171" s="2" t="s">
        <v>771</v>
      </c>
      <c r="E171" s="2" t="s">
        <v>25</v>
      </c>
      <c r="F171" s="2" t="s">
        <v>38</v>
      </c>
      <c r="G171" s="2" t="s">
        <v>25</v>
      </c>
      <c r="H171" s="2" t="s">
        <v>26</v>
      </c>
      <c r="I171" s="2" t="s">
        <v>72</v>
      </c>
      <c r="J171" s="2" t="s">
        <v>68</v>
      </c>
      <c r="K171" s="2" t="s">
        <v>54</v>
      </c>
      <c r="L171" s="2" t="s">
        <v>46</v>
      </c>
      <c r="M171" s="2" t="s">
        <v>69</v>
      </c>
      <c r="N171" s="2" t="s">
        <v>797</v>
      </c>
      <c r="O171" s="22" t="s">
        <v>170</v>
      </c>
      <c r="P171" s="22" t="s">
        <v>72</v>
      </c>
    </row>
    <row r="172" spans="1:16">
      <c r="A172" s="17" t="s">
        <v>768</v>
      </c>
      <c r="B172" s="2" t="s">
        <v>798</v>
      </c>
      <c r="C172" s="2" t="s">
        <v>799</v>
      </c>
      <c r="D172" s="2" t="s">
        <v>771</v>
      </c>
      <c r="E172" s="2" t="s">
        <v>25</v>
      </c>
      <c r="F172" s="2" t="s">
        <v>38</v>
      </c>
      <c r="G172" s="2" t="s">
        <v>25</v>
      </c>
      <c r="H172" s="2" t="s">
        <v>26</v>
      </c>
      <c r="I172" s="2" t="s">
        <v>72</v>
      </c>
      <c r="J172" s="2" t="s">
        <v>68</v>
      </c>
      <c r="K172" s="2" t="s">
        <v>54</v>
      </c>
      <c r="L172" s="2" t="s">
        <v>52</v>
      </c>
      <c r="M172" s="2" t="s">
        <v>69</v>
      </c>
      <c r="N172" s="2" t="s">
        <v>800</v>
      </c>
      <c r="O172" s="22" t="s">
        <v>170</v>
      </c>
      <c r="P172" s="22" t="s">
        <v>72</v>
      </c>
    </row>
    <row r="173" spans="1:16" ht="48">
      <c r="A173" s="17" t="s">
        <v>768</v>
      </c>
      <c r="B173" s="2" t="s">
        <v>801</v>
      </c>
      <c r="C173" s="2" t="s">
        <v>802</v>
      </c>
      <c r="D173" s="2" t="s">
        <v>771</v>
      </c>
      <c r="E173" s="2" t="s">
        <v>23</v>
      </c>
      <c r="F173" s="2" t="s">
        <v>803</v>
      </c>
      <c r="G173" s="2" t="s">
        <v>23</v>
      </c>
      <c r="H173" s="2" t="s">
        <v>778</v>
      </c>
      <c r="I173" s="2" t="s">
        <v>67</v>
      </c>
      <c r="J173" s="2" t="s">
        <v>68</v>
      </c>
      <c r="K173" s="2" t="s">
        <v>54</v>
      </c>
      <c r="L173" s="2" t="s">
        <v>46</v>
      </c>
      <c r="M173" s="2" t="s">
        <v>31</v>
      </c>
      <c r="N173" s="2" t="s">
        <v>804</v>
      </c>
      <c r="O173" s="22" t="s">
        <v>123</v>
      </c>
      <c r="P173" s="22" t="s">
        <v>72</v>
      </c>
    </row>
    <row r="174" spans="1:16" ht="36">
      <c r="A174" s="17" t="s">
        <v>768</v>
      </c>
      <c r="B174" s="2" t="s">
        <v>805</v>
      </c>
      <c r="C174" s="2" t="s">
        <v>806</v>
      </c>
      <c r="D174" s="2" t="s">
        <v>417</v>
      </c>
      <c r="E174" s="2" t="s">
        <v>23</v>
      </c>
      <c r="F174" s="2" t="s">
        <v>807</v>
      </c>
      <c r="G174" s="2" t="s">
        <v>23</v>
      </c>
      <c r="H174" s="2" t="s">
        <v>778</v>
      </c>
      <c r="I174" s="2" t="s">
        <v>27</v>
      </c>
      <c r="J174" s="2" t="s">
        <v>28</v>
      </c>
      <c r="K174" s="2" t="s">
        <v>48</v>
      </c>
      <c r="L174" s="2" t="s">
        <v>417</v>
      </c>
      <c r="M174" s="2" t="s">
        <v>31</v>
      </c>
      <c r="N174" s="2" t="s">
        <v>808</v>
      </c>
      <c r="O174" s="22" t="s">
        <v>123</v>
      </c>
      <c r="P174" s="22" t="s">
        <v>129</v>
      </c>
    </row>
    <row r="175" spans="1:16">
      <c r="A175" s="17" t="s">
        <v>768</v>
      </c>
      <c r="B175" s="2" t="s">
        <v>809</v>
      </c>
      <c r="C175" s="2" t="s">
        <v>810</v>
      </c>
      <c r="D175" s="2" t="s">
        <v>120</v>
      </c>
      <c r="E175" s="2" t="s">
        <v>23</v>
      </c>
      <c r="F175" s="2" t="s">
        <v>778</v>
      </c>
      <c r="G175" s="2" t="s">
        <v>23</v>
      </c>
      <c r="H175" s="2" t="s">
        <v>811</v>
      </c>
      <c r="I175" s="2" t="s">
        <v>27</v>
      </c>
      <c r="J175" s="2" t="s">
        <v>28</v>
      </c>
      <c r="K175" s="2" t="s">
        <v>29</v>
      </c>
      <c r="L175" s="2" t="s">
        <v>120</v>
      </c>
      <c r="M175" s="2" t="s">
        <v>31</v>
      </c>
      <c r="N175" s="2" t="s">
        <v>812</v>
      </c>
      <c r="O175" s="22" t="s">
        <v>123</v>
      </c>
      <c r="P175" s="22" t="s">
        <v>129</v>
      </c>
    </row>
    <row r="176" spans="1:16">
      <c r="A176" s="17" t="s">
        <v>768</v>
      </c>
      <c r="B176" s="2" t="s">
        <v>813</v>
      </c>
      <c r="C176" s="2" t="s">
        <v>814</v>
      </c>
      <c r="D176" s="2" t="s">
        <v>120</v>
      </c>
      <c r="E176" s="2" t="s">
        <v>23</v>
      </c>
      <c r="F176" s="2" t="s">
        <v>778</v>
      </c>
      <c r="G176" s="2" t="s">
        <v>23</v>
      </c>
      <c r="H176" s="2" t="s">
        <v>811</v>
      </c>
      <c r="I176" s="2" t="s">
        <v>27</v>
      </c>
      <c r="J176" s="2" t="s">
        <v>28</v>
      </c>
      <c r="K176" s="2" t="s">
        <v>29</v>
      </c>
      <c r="L176" s="2" t="s">
        <v>120</v>
      </c>
      <c r="M176" s="2" t="s">
        <v>31</v>
      </c>
      <c r="N176" s="2" t="s">
        <v>815</v>
      </c>
      <c r="O176" s="22" t="s">
        <v>123</v>
      </c>
      <c r="P176" s="22" t="s">
        <v>129</v>
      </c>
    </row>
    <row r="177" spans="1:16" ht="48">
      <c r="A177" s="17" t="s">
        <v>768</v>
      </c>
      <c r="B177" s="2" t="s">
        <v>816</v>
      </c>
      <c r="C177" s="2" t="s">
        <v>817</v>
      </c>
      <c r="D177" s="2" t="s">
        <v>52</v>
      </c>
      <c r="E177" s="2" t="s">
        <v>23</v>
      </c>
      <c r="F177" s="2" t="s">
        <v>818</v>
      </c>
      <c r="G177" s="2" t="s">
        <v>23</v>
      </c>
      <c r="H177" s="2" t="s">
        <v>819</v>
      </c>
      <c r="I177" s="2" t="s">
        <v>27</v>
      </c>
      <c r="J177" s="2" t="s">
        <v>28</v>
      </c>
      <c r="K177" s="2" t="s">
        <v>54</v>
      </c>
      <c r="L177" s="2" t="s">
        <v>52</v>
      </c>
      <c r="M177" s="2" t="s">
        <v>31</v>
      </c>
      <c r="N177" s="2" t="s">
        <v>820</v>
      </c>
      <c r="O177" s="22" t="s">
        <v>123</v>
      </c>
      <c r="P177" s="22" t="s">
        <v>63</v>
      </c>
    </row>
    <row r="178" spans="1:16" ht="48">
      <c r="A178" s="17" t="s">
        <v>768</v>
      </c>
      <c r="B178" s="2" t="s">
        <v>821</v>
      </c>
      <c r="C178" s="2" t="s">
        <v>822</v>
      </c>
      <c r="D178" s="2" t="s">
        <v>771</v>
      </c>
      <c r="E178" s="2" t="s">
        <v>23</v>
      </c>
      <c r="F178" s="2" t="s">
        <v>823</v>
      </c>
      <c r="G178" s="2" t="s">
        <v>23</v>
      </c>
      <c r="H178" s="2" t="s">
        <v>778</v>
      </c>
      <c r="I178" s="2" t="s">
        <v>27</v>
      </c>
      <c r="J178" s="2" t="s">
        <v>68</v>
      </c>
      <c r="K178" s="2" t="s">
        <v>48</v>
      </c>
      <c r="L178" s="2" t="s">
        <v>46</v>
      </c>
      <c r="M178" s="2" t="s">
        <v>31</v>
      </c>
      <c r="N178" s="2" t="s">
        <v>824</v>
      </c>
      <c r="O178" s="22" t="s">
        <v>135</v>
      </c>
      <c r="P178" s="22" t="s">
        <v>135</v>
      </c>
    </row>
    <row r="179" spans="1:16" ht="96">
      <c r="A179" s="18" t="s">
        <v>825</v>
      </c>
      <c r="B179" s="2" t="s">
        <v>826</v>
      </c>
      <c r="C179" s="2" t="s">
        <v>827</v>
      </c>
      <c r="D179" s="2" t="s">
        <v>828</v>
      </c>
      <c r="E179" s="2" t="s">
        <v>23</v>
      </c>
      <c r="F179" s="2" t="s">
        <v>829</v>
      </c>
      <c r="G179" s="2" t="s">
        <v>23</v>
      </c>
      <c r="H179" s="2" t="s">
        <v>334</v>
      </c>
      <c r="I179" s="2" t="s">
        <v>27</v>
      </c>
      <c r="J179" s="2" t="s">
        <v>28</v>
      </c>
      <c r="K179" s="2" t="s">
        <v>48</v>
      </c>
      <c r="L179" s="2" t="s">
        <v>46</v>
      </c>
      <c r="M179" s="2" t="s">
        <v>31</v>
      </c>
      <c r="N179" s="2" t="s">
        <v>830</v>
      </c>
      <c r="O179" s="22" t="s">
        <v>34</v>
      </c>
      <c r="P179" s="22" t="s">
        <v>34</v>
      </c>
    </row>
    <row r="180" spans="1:16" ht="24">
      <c r="A180" s="18" t="s">
        <v>825</v>
      </c>
      <c r="B180" s="2" t="s">
        <v>831</v>
      </c>
      <c r="C180" s="2" t="s">
        <v>832</v>
      </c>
      <c r="D180" s="2" t="s">
        <v>828</v>
      </c>
      <c r="E180" s="2" t="s">
        <v>23</v>
      </c>
      <c r="F180" s="2" t="s">
        <v>833</v>
      </c>
      <c r="G180" s="2" t="s">
        <v>23</v>
      </c>
      <c r="H180" s="2" t="s">
        <v>334</v>
      </c>
      <c r="I180" s="2" t="s">
        <v>27</v>
      </c>
      <c r="J180" s="2" t="s">
        <v>28</v>
      </c>
      <c r="K180" s="2" t="s">
        <v>48</v>
      </c>
      <c r="L180" s="2" t="s">
        <v>46</v>
      </c>
      <c r="M180" s="2" t="s">
        <v>31</v>
      </c>
      <c r="N180" s="2" t="s">
        <v>834</v>
      </c>
      <c r="O180" s="22" t="s">
        <v>71</v>
      </c>
      <c r="P180" s="22" t="s">
        <v>78</v>
      </c>
    </row>
    <row r="181" spans="1:16">
      <c r="A181" s="18" t="s">
        <v>825</v>
      </c>
      <c r="B181" s="2" t="s">
        <v>835</v>
      </c>
      <c r="C181" s="2" t="s">
        <v>836</v>
      </c>
      <c r="D181" s="2" t="s">
        <v>828</v>
      </c>
      <c r="E181" s="2" t="s">
        <v>23</v>
      </c>
      <c r="F181" s="2" t="s">
        <v>334</v>
      </c>
      <c r="G181" s="2" t="s">
        <v>23</v>
      </c>
      <c r="H181" s="2" t="s">
        <v>334</v>
      </c>
      <c r="I181" s="2" t="s">
        <v>27</v>
      </c>
      <c r="J181" s="2" t="s">
        <v>28</v>
      </c>
      <c r="K181" s="2" t="s">
        <v>48</v>
      </c>
      <c r="L181" s="2" t="s">
        <v>46</v>
      </c>
      <c r="M181" s="2" t="s">
        <v>31</v>
      </c>
      <c r="N181" s="2" t="s">
        <v>837</v>
      </c>
      <c r="O181" s="22" t="s">
        <v>71</v>
      </c>
      <c r="P181" s="22" t="s">
        <v>78</v>
      </c>
    </row>
    <row r="182" spans="1:16">
      <c r="A182" s="18" t="s">
        <v>825</v>
      </c>
      <c r="B182" s="2" t="s">
        <v>838</v>
      </c>
      <c r="C182" s="2" t="s">
        <v>839</v>
      </c>
      <c r="D182" s="2" t="s">
        <v>828</v>
      </c>
      <c r="E182" s="2" t="s">
        <v>25</v>
      </c>
      <c r="F182" s="2" t="s">
        <v>38</v>
      </c>
      <c r="G182" s="2" t="s">
        <v>25</v>
      </c>
      <c r="H182" s="2" t="s">
        <v>26</v>
      </c>
      <c r="I182" s="2" t="s">
        <v>72</v>
      </c>
      <c r="J182" s="2" t="s">
        <v>68</v>
      </c>
      <c r="K182" s="2" t="s">
        <v>48</v>
      </c>
      <c r="L182" s="2" t="s">
        <v>46</v>
      </c>
      <c r="M182" s="2" t="s">
        <v>69</v>
      </c>
      <c r="N182" s="2" t="s">
        <v>840</v>
      </c>
      <c r="O182" s="22" t="s">
        <v>170</v>
      </c>
      <c r="P182" s="22" t="s">
        <v>72</v>
      </c>
    </row>
    <row r="183" spans="1:16" ht="36">
      <c r="A183" s="18" t="s">
        <v>825</v>
      </c>
      <c r="B183" s="2" t="s">
        <v>841</v>
      </c>
      <c r="C183" s="2" t="s">
        <v>842</v>
      </c>
      <c r="D183" s="2" t="s">
        <v>828</v>
      </c>
      <c r="E183" s="2" t="s">
        <v>23</v>
      </c>
      <c r="F183" s="2" t="s">
        <v>634</v>
      </c>
      <c r="G183" s="2" t="s">
        <v>23</v>
      </c>
      <c r="H183" s="2" t="s">
        <v>334</v>
      </c>
      <c r="I183" s="2" t="s">
        <v>27</v>
      </c>
      <c r="J183" s="2" t="s">
        <v>28</v>
      </c>
      <c r="K183" s="2" t="s">
        <v>48</v>
      </c>
      <c r="L183" s="2" t="s">
        <v>46</v>
      </c>
      <c r="M183" s="2" t="s">
        <v>31</v>
      </c>
      <c r="N183" s="2" t="s">
        <v>843</v>
      </c>
      <c r="O183" s="22" t="s">
        <v>78</v>
      </c>
      <c r="P183" s="22" t="s">
        <v>123</v>
      </c>
    </row>
    <row r="184" spans="1:16" ht="24">
      <c r="A184" s="18" t="s">
        <v>825</v>
      </c>
      <c r="B184" s="2" t="s">
        <v>844</v>
      </c>
      <c r="C184" s="2" t="s">
        <v>845</v>
      </c>
      <c r="D184" s="2" t="s">
        <v>828</v>
      </c>
      <c r="E184" s="2" t="s">
        <v>23</v>
      </c>
      <c r="F184" s="2" t="s">
        <v>334</v>
      </c>
      <c r="G184" s="2" t="s">
        <v>23</v>
      </c>
      <c r="H184" s="2" t="s">
        <v>334</v>
      </c>
      <c r="I184" s="2" t="s">
        <v>67</v>
      </c>
      <c r="J184" s="2" t="s">
        <v>68</v>
      </c>
      <c r="K184" s="2" t="s">
        <v>48</v>
      </c>
      <c r="L184" s="2" t="s">
        <v>46</v>
      </c>
      <c r="M184" s="2" t="s">
        <v>31</v>
      </c>
      <c r="N184" s="2" t="s">
        <v>846</v>
      </c>
      <c r="O184" s="22" t="s">
        <v>78</v>
      </c>
      <c r="P184" s="22" t="s">
        <v>72</v>
      </c>
    </row>
    <row r="185" spans="1:16">
      <c r="A185" s="18" t="s">
        <v>825</v>
      </c>
      <c r="B185" s="2" t="s">
        <v>847</v>
      </c>
      <c r="C185" s="2" t="s">
        <v>848</v>
      </c>
      <c r="D185" s="2" t="s">
        <v>828</v>
      </c>
      <c r="E185" s="2" t="s">
        <v>23</v>
      </c>
      <c r="F185" s="2" t="s">
        <v>334</v>
      </c>
      <c r="G185" s="2" t="s">
        <v>23</v>
      </c>
      <c r="H185" s="2" t="s">
        <v>334</v>
      </c>
      <c r="I185" s="2" t="s">
        <v>67</v>
      </c>
      <c r="J185" s="2" t="s">
        <v>68</v>
      </c>
      <c r="K185" s="2" t="s">
        <v>48</v>
      </c>
      <c r="L185" s="2" t="s">
        <v>46</v>
      </c>
      <c r="M185" s="2" t="s">
        <v>31</v>
      </c>
      <c r="N185" s="2" t="s">
        <v>849</v>
      </c>
      <c r="O185" s="22" t="s">
        <v>78</v>
      </c>
      <c r="P185" s="22" t="s">
        <v>72</v>
      </c>
    </row>
    <row r="186" spans="1:16" ht="24">
      <c r="A186" s="18" t="s">
        <v>825</v>
      </c>
      <c r="B186" s="2" t="s">
        <v>850</v>
      </c>
      <c r="C186" s="2" t="s">
        <v>851</v>
      </c>
      <c r="D186" s="2" t="s">
        <v>828</v>
      </c>
      <c r="E186" s="2" t="s">
        <v>23</v>
      </c>
      <c r="F186" s="2" t="s">
        <v>334</v>
      </c>
      <c r="G186" s="2" t="s">
        <v>23</v>
      </c>
      <c r="H186" s="2" t="s">
        <v>334</v>
      </c>
      <c r="I186" s="2" t="s">
        <v>67</v>
      </c>
      <c r="J186" s="2" t="s">
        <v>68</v>
      </c>
      <c r="K186" s="2" t="s">
        <v>48</v>
      </c>
      <c r="L186" s="2" t="s">
        <v>46</v>
      </c>
      <c r="M186" s="2" t="s">
        <v>31</v>
      </c>
      <c r="N186" s="2" t="s">
        <v>852</v>
      </c>
      <c r="O186" s="22" t="s">
        <v>78</v>
      </c>
      <c r="P186" s="22" t="s">
        <v>72</v>
      </c>
    </row>
    <row r="187" spans="1:16" ht="24">
      <c r="A187" s="18" t="s">
        <v>825</v>
      </c>
      <c r="B187" s="2" t="s">
        <v>853</v>
      </c>
      <c r="C187" s="2" t="s">
        <v>854</v>
      </c>
      <c r="D187" s="2" t="s">
        <v>828</v>
      </c>
      <c r="E187" s="2" t="s">
        <v>25</v>
      </c>
      <c r="F187" s="2" t="s">
        <v>168</v>
      </c>
      <c r="G187" s="2" t="s">
        <v>25</v>
      </c>
      <c r="H187" s="2" t="s">
        <v>26</v>
      </c>
      <c r="I187" s="2" t="s">
        <v>72</v>
      </c>
      <c r="J187" s="2" t="s">
        <v>68</v>
      </c>
      <c r="K187" s="2" t="s">
        <v>54</v>
      </c>
      <c r="L187" s="2" t="s">
        <v>52</v>
      </c>
      <c r="M187" s="2" t="s">
        <v>69</v>
      </c>
      <c r="N187" s="2" t="s">
        <v>855</v>
      </c>
      <c r="O187" s="22" t="s">
        <v>170</v>
      </c>
      <c r="P187" s="22" t="s">
        <v>72</v>
      </c>
    </row>
    <row r="188" spans="1:16" ht="24">
      <c r="A188" s="18" t="s">
        <v>825</v>
      </c>
      <c r="B188" s="2" t="s">
        <v>856</v>
      </c>
      <c r="C188" s="2" t="s">
        <v>857</v>
      </c>
      <c r="D188" s="2" t="s">
        <v>120</v>
      </c>
      <c r="E188" s="2" t="s">
        <v>23</v>
      </c>
      <c r="F188" s="2" t="s">
        <v>858</v>
      </c>
      <c r="G188" s="2" t="s">
        <v>23</v>
      </c>
      <c r="H188" s="2" t="s">
        <v>859</v>
      </c>
      <c r="I188" s="2" t="s">
        <v>27</v>
      </c>
      <c r="J188" s="2" t="s">
        <v>28</v>
      </c>
      <c r="K188" s="2" t="s">
        <v>29</v>
      </c>
      <c r="L188" s="2" t="s">
        <v>120</v>
      </c>
      <c r="M188" s="2" t="s">
        <v>31</v>
      </c>
      <c r="N188" s="2" t="s">
        <v>860</v>
      </c>
      <c r="O188" s="22" t="s">
        <v>78</v>
      </c>
      <c r="P188" s="22" t="s">
        <v>123</v>
      </c>
    </row>
    <row r="189" spans="1:16" ht="36">
      <c r="A189" s="13" t="s">
        <v>861</v>
      </c>
      <c r="B189" s="2" t="s">
        <v>862</v>
      </c>
      <c r="C189" s="2" t="s">
        <v>863</v>
      </c>
      <c r="D189" s="2" t="s">
        <v>133</v>
      </c>
      <c r="E189" s="2" t="s">
        <v>23</v>
      </c>
      <c r="F189" s="2" t="s">
        <v>864</v>
      </c>
      <c r="G189" s="2" t="s">
        <v>25</v>
      </c>
      <c r="H189" s="2" t="s">
        <v>38</v>
      </c>
      <c r="I189" s="2" t="s">
        <v>67</v>
      </c>
      <c r="J189" s="2" t="s">
        <v>28</v>
      </c>
      <c r="K189" s="2" t="s">
        <v>48</v>
      </c>
      <c r="L189" s="2" t="s">
        <v>133</v>
      </c>
      <c r="M189" s="2" t="s">
        <v>69</v>
      </c>
      <c r="N189" s="2" t="s">
        <v>865</v>
      </c>
      <c r="O189" s="22" t="s">
        <v>129</v>
      </c>
      <c r="P189" s="22" t="s">
        <v>72</v>
      </c>
    </row>
    <row r="190" spans="1:16" ht="60">
      <c r="A190" s="13" t="s">
        <v>861</v>
      </c>
      <c r="B190" s="2" t="s">
        <v>866</v>
      </c>
      <c r="C190" s="2" t="s">
        <v>867</v>
      </c>
      <c r="D190" s="2" t="s">
        <v>133</v>
      </c>
      <c r="E190" s="2" t="s">
        <v>23</v>
      </c>
      <c r="F190" s="2" t="s">
        <v>868</v>
      </c>
      <c r="G190" s="2" t="s">
        <v>23</v>
      </c>
      <c r="H190" s="2" t="s">
        <v>93</v>
      </c>
      <c r="I190" s="2" t="s">
        <v>27</v>
      </c>
      <c r="J190" s="2" t="s">
        <v>28</v>
      </c>
      <c r="K190" s="2" t="s">
        <v>48</v>
      </c>
      <c r="L190" s="2" t="s">
        <v>133</v>
      </c>
      <c r="M190" s="2" t="s">
        <v>31</v>
      </c>
      <c r="N190" s="2" t="s">
        <v>869</v>
      </c>
      <c r="O190" s="22" t="s">
        <v>34</v>
      </c>
      <c r="P190" s="22" t="s">
        <v>129</v>
      </c>
    </row>
    <row r="191" spans="1:16" ht="48">
      <c r="A191" s="13" t="s">
        <v>861</v>
      </c>
      <c r="B191" s="2" t="s">
        <v>870</v>
      </c>
      <c r="C191" s="2" t="s">
        <v>871</v>
      </c>
      <c r="D191" s="2" t="s">
        <v>133</v>
      </c>
      <c r="E191" s="2" t="s">
        <v>23</v>
      </c>
      <c r="F191" s="2" t="s">
        <v>872</v>
      </c>
      <c r="G191" s="2" t="s">
        <v>23</v>
      </c>
      <c r="H191" s="2" t="s">
        <v>106</v>
      </c>
      <c r="I191" s="2" t="s">
        <v>27</v>
      </c>
      <c r="J191" s="2" t="s">
        <v>28</v>
      </c>
      <c r="K191" s="2" t="s">
        <v>48</v>
      </c>
      <c r="L191" s="2" t="s">
        <v>133</v>
      </c>
      <c r="M191" s="2" t="s">
        <v>31</v>
      </c>
      <c r="N191" s="2" t="s">
        <v>873</v>
      </c>
      <c r="O191" s="22" t="s">
        <v>34</v>
      </c>
      <c r="P191" s="22" t="s">
        <v>129</v>
      </c>
    </row>
    <row r="192" spans="1:16" ht="24">
      <c r="A192" s="13" t="s">
        <v>861</v>
      </c>
      <c r="B192" s="2" t="s">
        <v>874</v>
      </c>
      <c r="C192" s="2" t="s">
        <v>875</v>
      </c>
      <c r="D192" s="2" t="s">
        <v>133</v>
      </c>
      <c r="E192" s="2" t="s">
        <v>23</v>
      </c>
      <c r="F192" s="2" t="s">
        <v>876</v>
      </c>
      <c r="G192" s="2" t="s">
        <v>25</v>
      </c>
      <c r="H192" s="2" t="s">
        <v>38</v>
      </c>
      <c r="I192" s="2" t="s">
        <v>67</v>
      </c>
      <c r="J192" s="2" t="s">
        <v>28</v>
      </c>
      <c r="K192" s="2" t="s">
        <v>48</v>
      </c>
      <c r="L192" s="2" t="s">
        <v>133</v>
      </c>
      <c r="M192" s="2" t="s">
        <v>31</v>
      </c>
      <c r="N192" s="2" t="s">
        <v>877</v>
      </c>
      <c r="O192" s="22" t="s">
        <v>878</v>
      </c>
      <c r="P192" s="22" t="s">
        <v>72</v>
      </c>
    </row>
    <row r="193" spans="1:16" ht="24">
      <c r="A193" s="13" t="s">
        <v>861</v>
      </c>
      <c r="B193" s="2" t="s">
        <v>879</v>
      </c>
      <c r="C193" s="2" t="s">
        <v>880</v>
      </c>
      <c r="D193" s="2" t="s">
        <v>133</v>
      </c>
      <c r="E193" s="2" t="s">
        <v>23</v>
      </c>
      <c r="F193" s="2" t="s">
        <v>881</v>
      </c>
      <c r="G193" s="2" t="s">
        <v>25</v>
      </c>
      <c r="H193" s="2" t="s">
        <v>38</v>
      </c>
      <c r="I193" s="2" t="s">
        <v>67</v>
      </c>
      <c r="J193" s="2" t="s">
        <v>28</v>
      </c>
      <c r="K193" s="2" t="s">
        <v>48</v>
      </c>
      <c r="L193" s="2" t="s">
        <v>133</v>
      </c>
      <c r="M193" s="2" t="s">
        <v>69</v>
      </c>
      <c r="N193" s="2" t="s">
        <v>882</v>
      </c>
      <c r="O193" s="22" t="s">
        <v>878</v>
      </c>
      <c r="P193" s="22" t="s">
        <v>72</v>
      </c>
    </row>
    <row r="194" spans="1:16" ht="24">
      <c r="A194" s="13" t="s">
        <v>861</v>
      </c>
      <c r="B194" s="2" t="s">
        <v>883</v>
      </c>
      <c r="C194" s="2" t="s">
        <v>884</v>
      </c>
      <c r="D194" s="2" t="s">
        <v>133</v>
      </c>
      <c r="E194" s="2" t="s">
        <v>23</v>
      </c>
      <c r="F194" s="2" t="s">
        <v>885</v>
      </c>
      <c r="G194" s="2" t="s">
        <v>25</v>
      </c>
      <c r="H194" s="2" t="s">
        <v>38</v>
      </c>
      <c r="I194" s="2" t="s">
        <v>67</v>
      </c>
      <c r="J194" s="2" t="s">
        <v>68</v>
      </c>
      <c r="K194" s="2" t="s">
        <v>48</v>
      </c>
      <c r="L194" s="2" t="s">
        <v>133</v>
      </c>
      <c r="M194" s="2" t="s">
        <v>69</v>
      </c>
      <c r="N194" s="2" t="s">
        <v>886</v>
      </c>
      <c r="O194" s="22" t="s">
        <v>878</v>
      </c>
      <c r="P194" s="22" t="s">
        <v>72</v>
      </c>
    </row>
    <row r="195" spans="1:16" ht="48">
      <c r="A195" s="13" t="s">
        <v>861</v>
      </c>
      <c r="B195" s="2" t="s">
        <v>887</v>
      </c>
      <c r="C195" s="2" t="s">
        <v>888</v>
      </c>
      <c r="D195" s="2" t="s">
        <v>133</v>
      </c>
      <c r="E195" s="2" t="s">
        <v>23</v>
      </c>
      <c r="F195" s="2" t="s">
        <v>889</v>
      </c>
      <c r="G195" s="2" t="s">
        <v>23</v>
      </c>
      <c r="H195" s="2" t="s">
        <v>890</v>
      </c>
      <c r="I195" s="2" t="s">
        <v>27</v>
      </c>
      <c r="J195" s="2" t="s">
        <v>28</v>
      </c>
      <c r="K195" s="2" t="s">
        <v>48</v>
      </c>
      <c r="L195" s="2" t="s">
        <v>133</v>
      </c>
      <c r="M195" s="2" t="s">
        <v>31</v>
      </c>
      <c r="N195" s="2" t="s">
        <v>891</v>
      </c>
      <c r="O195" s="22" t="s">
        <v>878</v>
      </c>
      <c r="P195" s="22" t="s">
        <v>63</v>
      </c>
    </row>
    <row r="196" spans="1:16" ht="24">
      <c r="A196" s="13" t="s">
        <v>861</v>
      </c>
      <c r="B196" s="2" t="s">
        <v>892</v>
      </c>
      <c r="C196" s="2" t="s">
        <v>893</v>
      </c>
      <c r="D196" s="2" t="s">
        <v>133</v>
      </c>
      <c r="E196" s="2" t="s">
        <v>25</v>
      </c>
      <c r="F196" s="2" t="s">
        <v>38</v>
      </c>
      <c r="G196" s="2" t="s">
        <v>25</v>
      </c>
      <c r="H196" s="2" t="s">
        <v>26</v>
      </c>
      <c r="I196" s="2" t="s">
        <v>72</v>
      </c>
      <c r="J196" s="2" t="s">
        <v>28</v>
      </c>
      <c r="K196" s="2" t="s">
        <v>29</v>
      </c>
      <c r="L196" s="2" t="s">
        <v>120</v>
      </c>
      <c r="M196" s="2" t="s">
        <v>894</v>
      </c>
      <c r="N196" s="2" t="s">
        <v>895</v>
      </c>
      <c r="O196" s="22" t="s">
        <v>676</v>
      </c>
      <c r="P196" s="22" t="s">
        <v>72</v>
      </c>
    </row>
    <row r="197" spans="1:16" ht="36">
      <c r="A197" s="13" t="s">
        <v>861</v>
      </c>
      <c r="B197" s="2" t="s">
        <v>896</v>
      </c>
      <c r="C197" s="2" t="s">
        <v>897</v>
      </c>
      <c r="D197" s="2" t="s">
        <v>133</v>
      </c>
      <c r="E197" s="2" t="s">
        <v>23</v>
      </c>
      <c r="F197" s="2" t="s">
        <v>898</v>
      </c>
      <c r="G197" s="2" t="s">
        <v>25</v>
      </c>
      <c r="H197" s="2" t="s">
        <v>26</v>
      </c>
      <c r="I197" s="2" t="s">
        <v>67</v>
      </c>
      <c r="J197" s="2" t="s">
        <v>68</v>
      </c>
      <c r="K197" s="2" t="s">
        <v>48</v>
      </c>
      <c r="L197" s="2" t="s">
        <v>75</v>
      </c>
      <c r="M197" s="2" t="s">
        <v>31</v>
      </c>
      <c r="N197" s="2" t="s">
        <v>899</v>
      </c>
      <c r="O197" s="22" t="s">
        <v>129</v>
      </c>
      <c r="P197" s="22" t="s">
        <v>72</v>
      </c>
    </row>
    <row r="198" spans="1:16" ht="24">
      <c r="A198" s="13" t="s">
        <v>861</v>
      </c>
      <c r="B198" s="2" t="s">
        <v>900</v>
      </c>
      <c r="C198" s="2" t="s">
        <v>901</v>
      </c>
      <c r="D198" s="2" t="s">
        <v>133</v>
      </c>
      <c r="E198" s="2" t="s">
        <v>25</v>
      </c>
      <c r="F198" s="2" t="s">
        <v>38</v>
      </c>
      <c r="G198" s="2" t="s">
        <v>25</v>
      </c>
      <c r="H198" s="2" t="s">
        <v>26</v>
      </c>
      <c r="I198" s="2" t="s">
        <v>72</v>
      </c>
      <c r="J198" s="2" t="s">
        <v>28</v>
      </c>
      <c r="K198" s="2" t="s">
        <v>29</v>
      </c>
      <c r="L198" s="2" t="s">
        <v>133</v>
      </c>
      <c r="M198" s="2" t="s">
        <v>894</v>
      </c>
      <c r="N198" s="2" t="s">
        <v>902</v>
      </c>
      <c r="O198" s="22" t="s">
        <v>676</v>
      </c>
      <c r="P198" s="22" t="s">
        <v>72</v>
      </c>
    </row>
    <row r="199" spans="1:16" ht="24">
      <c r="A199" s="19" t="s">
        <v>903</v>
      </c>
      <c r="B199" s="2" t="s">
        <v>904</v>
      </c>
      <c r="C199" s="2" t="s">
        <v>905</v>
      </c>
      <c r="D199" s="2" t="s">
        <v>120</v>
      </c>
      <c r="E199" s="2" t="s">
        <v>23</v>
      </c>
      <c r="F199" s="2" t="s">
        <v>495</v>
      </c>
      <c r="G199" s="2" t="s">
        <v>23</v>
      </c>
      <c r="H199" s="2" t="s">
        <v>503</v>
      </c>
      <c r="I199" s="2" t="s">
        <v>27</v>
      </c>
      <c r="J199" s="2" t="s">
        <v>28</v>
      </c>
      <c r="K199" s="2" t="s">
        <v>48</v>
      </c>
      <c r="L199" s="2" t="s">
        <v>120</v>
      </c>
      <c r="M199" s="2" t="s">
        <v>31</v>
      </c>
      <c r="N199" s="2" t="s">
        <v>906</v>
      </c>
      <c r="O199" s="22" t="s">
        <v>78</v>
      </c>
      <c r="P199" s="22" t="s">
        <v>123</v>
      </c>
    </row>
    <row r="200" spans="1:16" ht="24">
      <c r="A200" s="19" t="s">
        <v>903</v>
      </c>
      <c r="B200" s="2" t="s">
        <v>907</v>
      </c>
      <c r="C200" s="2" t="s">
        <v>908</v>
      </c>
      <c r="D200" s="2" t="s">
        <v>120</v>
      </c>
      <c r="E200" s="2" t="s">
        <v>23</v>
      </c>
      <c r="F200" s="2" t="s">
        <v>909</v>
      </c>
      <c r="G200" s="2" t="s">
        <v>23</v>
      </c>
      <c r="H200" s="2" t="s">
        <v>503</v>
      </c>
      <c r="I200" s="2" t="s">
        <v>27</v>
      </c>
      <c r="J200" s="2" t="s">
        <v>28</v>
      </c>
      <c r="K200" s="2" t="s">
        <v>48</v>
      </c>
      <c r="L200" s="2" t="s">
        <v>120</v>
      </c>
      <c r="M200" s="2" t="s">
        <v>31</v>
      </c>
      <c r="N200" s="2" t="s">
        <v>910</v>
      </c>
      <c r="O200" s="22" t="s">
        <v>78</v>
      </c>
      <c r="P200" s="22" t="s">
        <v>123</v>
      </c>
    </row>
    <row r="201" spans="1:16" ht="24">
      <c r="A201" s="19" t="s">
        <v>903</v>
      </c>
      <c r="B201" s="2" t="s">
        <v>911</v>
      </c>
      <c r="C201" s="2" t="s">
        <v>912</v>
      </c>
      <c r="D201" s="2" t="s">
        <v>120</v>
      </c>
      <c r="E201" s="2" t="s">
        <v>23</v>
      </c>
      <c r="F201" s="2" t="s">
        <v>690</v>
      </c>
      <c r="G201" s="2" t="s">
        <v>23</v>
      </c>
      <c r="H201" s="2" t="s">
        <v>721</v>
      </c>
      <c r="I201" s="2" t="s">
        <v>27</v>
      </c>
      <c r="J201" s="2" t="s">
        <v>28</v>
      </c>
      <c r="K201" s="2" t="s">
        <v>48</v>
      </c>
      <c r="L201" s="2" t="s">
        <v>120</v>
      </c>
      <c r="M201" s="2" t="s">
        <v>31</v>
      </c>
      <c r="N201" s="2" t="s">
        <v>913</v>
      </c>
      <c r="O201" s="22" t="s">
        <v>78</v>
      </c>
      <c r="P201" s="22" t="s">
        <v>123</v>
      </c>
    </row>
    <row r="202" spans="1:16" ht="24">
      <c r="A202" s="19" t="s">
        <v>903</v>
      </c>
      <c r="B202" s="2" t="s">
        <v>914</v>
      </c>
      <c r="C202" s="2" t="s">
        <v>915</v>
      </c>
      <c r="D202" s="2" t="s">
        <v>120</v>
      </c>
      <c r="E202" s="2" t="s">
        <v>23</v>
      </c>
      <c r="F202" s="2" t="s">
        <v>690</v>
      </c>
      <c r="G202" s="2" t="s">
        <v>23</v>
      </c>
      <c r="H202" s="2" t="s">
        <v>721</v>
      </c>
      <c r="I202" s="2" t="s">
        <v>27</v>
      </c>
      <c r="J202" s="2" t="s">
        <v>28</v>
      </c>
      <c r="K202" s="2" t="s">
        <v>48</v>
      </c>
      <c r="L202" s="2" t="s">
        <v>120</v>
      </c>
      <c r="M202" s="2" t="s">
        <v>31</v>
      </c>
      <c r="N202" s="2" t="s">
        <v>916</v>
      </c>
      <c r="O202" s="22" t="s">
        <v>78</v>
      </c>
      <c r="P202" s="22" t="s">
        <v>123</v>
      </c>
    </row>
    <row r="203" spans="1:16" ht="24">
      <c r="A203" s="19" t="s">
        <v>903</v>
      </c>
      <c r="B203" s="2" t="s">
        <v>917</v>
      </c>
      <c r="C203" s="2" t="s">
        <v>918</v>
      </c>
      <c r="D203" s="2" t="s">
        <v>120</v>
      </c>
      <c r="E203" s="2" t="s">
        <v>23</v>
      </c>
      <c r="F203" s="2" t="s">
        <v>690</v>
      </c>
      <c r="G203" s="2" t="s">
        <v>23</v>
      </c>
      <c r="H203" s="2" t="s">
        <v>721</v>
      </c>
      <c r="I203" s="2" t="s">
        <v>27</v>
      </c>
      <c r="J203" s="2" t="s">
        <v>28</v>
      </c>
      <c r="K203" s="2" t="s">
        <v>48</v>
      </c>
      <c r="L203" s="2" t="s">
        <v>120</v>
      </c>
      <c r="M203" s="2" t="s">
        <v>31</v>
      </c>
      <c r="N203" s="2" t="s">
        <v>919</v>
      </c>
      <c r="O203" s="22" t="s">
        <v>78</v>
      </c>
      <c r="P203" s="22" t="s">
        <v>123</v>
      </c>
    </row>
    <row r="204" spans="1:16" ht="24">
      <c r="A204" s="19" t="s">
        <v>903</v>
      </c>
      <c r="B204" s="2" t="s">
        <v>920</v>
      </c>
      <c r="C204" s="2" t="s">
        <v>921</v>
      </c>
      <c r="D204" s="2" t="s">
        <v>120</v>
      </c>
      <c r="E204" s="2" t="s">
        <v>23</v>
      </c>
      <c r="F204" s="2" t="s">
        <v>922</v>
      </c>
      <c r="G204" s="2" t="s">
        <v>23</v>
      </c>
      <c r="H204" s="2" t="s">
        <v>503</v>
      </c>
      <c r="I204" s="2" t="s">
        <v>27</v>
      </c>
      <c r="J204" s="2" t="s">
        <v>28</v>
      </c>
      <c r="K204" s="2" t="s">
        <v>48</v>
      </c>
      <c r="L204" s="2" t="s">
        <v>120</v>
      </c>
      <c r="M204" s="2" t="s">
        <v>31</v>
      </c>
      <c r="N204" s="2" t="s">
        <v>923</v>
      </c>
      <c r="O204" s="22" t="s">
        <v>78</v>
      </c>
      <c r="P204" s="22" t="s">
        <v>123</v>
      </c>
    </row>
    <row r="205" spans="1:16" ht="24">
      <c r="A205" s="19" t="s">
        <v>903</v>
      </c>
      <c r="B205" s="2" t="s">
        <v>924</v>
      </c>
      <c r="C205" s="2" t="s">
        <v>925</v>
      </c>
      <c r="D205" s="2" t="s">
        <v>120</v>
      </c>
      <c r="E205" s="2" t="s">
        <v>23</v>
      </c>
      <c r="F205" s="2" t="s">
        <v>773</v>
      </c>
      <c r="G205" s="2" t="s">
        <v>23</v>
      </c>
      <c r="H205" s="2" t="s">
        <v>811</v>
      </c>
      <c r="I205" s="2" t="s">
        <v>27</v>
      </c>
      <c r="J205" s="2" t="s">
        <v>28</v>
      </c>
      <c r="K205" s="2" t="s">
        <v>48</v>
      </c>
      <c r="L205" s="2" t="s">
        <v>120</v>
      </c>
      <c r="M205" s="2" t="s">
        <v>31</v>
      </c>
      <c r="N205" s="2" t="s">
        <v>926</v>
      </c>
      <c r="O205" s="22" t="s">
        <v>123</v>
      </c>
      <c r="P205" s="22" t="s">
        <v>129</v>
      </c>
    </row>
    <row r="206" spans="1:16" ht="48">
      <c r="A206" s="19" t="s">
        <v>903</v>
      </c>
      <c r="B206" s="2" t="s">
        <v>927</v>
      </c>
      <c r="C206" s="2" t="s">
        <v>928</v>
      </c>
      <c r="D206" s="2" t="s">
        <v>120</v>
      </c>
      <c r="E206" s="2" t="s">
        <v>23</v>
      </c>
      <c r="F206" s="2" t="s">
        <v>929</v>
      </c>
      <c r="G206" s="2" t="s">
        <v>23</v>
      </c>
      <c r="H206" s="2" t="s">
        <v>121</v>
      </c>
      <c r="I206" s="2" t="s">
        <v>27</v>
      </c>
      <c r="J206" s="2" t="s">
        <v>28</v>
      </c>
      <c r="K206" s="2" t="s">
        <v>48</v>
      </c>
      <c r="L206" s="2" t="s">
        <v>120</v>
      </c>
      <c r="M206" s="2" t="s">
        <v>31</v>
      </c>
      <c r="N206" s="2" t="s">
        <v>930</v>
      </c>
      <c r="O206" s="22" t="s">
        <v>123</v>
      </c>
      <c r="P206" s="22" t="s">
        <v>129</v>
      </c>
    </row>
    <row r="207" spans="1:16" ht="24">
      <c r="A207" s="19" t="s">
        <v>903</v>
      </c>
      <c r="B207" s="2" t="s">
        <v>931</v>
      </c>
      <c r="C207" s="2" t="s">
        <v>932</v>
      </c>
      <c r="D207" s="2" t="s">
        <v>120</v>
      </c>
      <c r="E207" s="2" t="s">
        <v>23</v>
      </c>
      <c r="F207" s="2" t="s">
        <v>933</v>
      </c>
      <c r="G207" s="2" t="s">
        <v>23</v>
      </c>
      <c r="H207" s="2" t="s">
        <v>934</v>
      </c>
      <c r="I207" s="2" t="s">
        <v>67</v>
      </c>
      <c r="J207" s="2" t="s">
        <v>28</v>
      </c>
      <c r="K207" s="2" t="s">
        <v>29</v>
      </c>
      <c r="L207" s="2" t="s">
        <v>120</v>
      </c>
      <c r="M207" s="2" t="s">
        <v>69</v>
      </c>
      <c r="N207" s="2" t="s">
        <v>935</v>
      </c>
      <c r="O207" s="22" t="s">
        <v>78</v>
      </c>
      <c r="P207" s="22" t="s">
        <v>72</v>
      </c>
    </row>
    <row r="208" spans="1:16" ht="24">
      <c r="A208" s="19" t="s">
        <v>903</v>
      </c>
      <c r="B208" s="2" t="s">
        <v>936</v>
      </c>
      <c r="C208" s="2" t="s">
        <v>937</v>
      </c>
      <c r="D208" s="2" t="s">
        <v>120</v>
      </c>
      <c r="E208" s="2" t="s">
        <v>25</v>
      </c>
      <c r="F208" s="2" t="s">
        <v>938</v>
      </c>
      <c r="G208" s="2" t="s">
        <v>25</v>
      </c>
      <c r="H208" s="2" t="s">
        <v>26</v>
      </c>
      <c r="I208" s="2" t="s">
        <v>72</v>
      </c>
      <c r="J208" s="2" t="s">
        <v>68</v>
      </c>
      <c r="K208" s="2" t="s">
        <v>29</v>
      </c>
      <c r="L208" s="2" t="s">
        <v>120</v>
      </c>
      <c r="M208" s="2" t="s">
        <v>894</v>
      </c>
      <c r="N208" s="2" t="s">
        <v>939</v>
      </c>
      <c r="O208" s="22" t="s">
        <v>676</v>
      </c>
      <c r="P208" s="22" t="s">
        <v>72</v>
      </c>
    </row>
    <row r="209" spans="1:16" ht="84">
      <c r="A209" s="19" t="s">
        <v>903</v>
      </c>
      <c r="B209" s="2" t="s">
        <v>940</v>
      </c>
      <c r="C209" s="2" t="s">
        <v>941</v>
      </c>
      <c r="D209" s="2" t="s">
        <v>120</v>
      </c>
      <c r="E209" s="2" t="s">
        <v>23</v>
      </c>
      <c r="F209" s="2" t="s">
        <v>942</v>
      </c>
      <c r="G209" s="2" t="s">
        <v>25</v>
      </c>
      <c r="H209" s="2" t="s">
        <v>26</v>
      </c>
      <c r="I209" s="2" t="s">
        <v>27</v>
      </c>
      <c r="J209" s="2" t="s">
        <v>68</v>
      </c>
      <c r="K209" s="2" t="s">
        <v>29</v>
      </c>
      <c r="L209" s="2" t="s">
        <v>75</v>
      </c>
      <c r="M209" s="2" t="s">
        <v>31</v>
      </c>
      <c r="N209" s="2" t="s">
        <v>943</v>
      </c>
      <c r="O209" s="22" t="s">
        <v>129</v>
      </c>
      <c r="P209" s="22" t="s">
        <v>878</v>
      </c>
    </row>
    <row r="210" spans="1:16" ht="60">
      <c r="A210" s="19" t="s">
        <v>903</v>
      </c>
      <c r="B210" s="2" t="s">
        <v>944</v>
      </c>
      <c r="C210" s="2" t="s">
        <v>945</v>
      </c>
      <c r="D210" s="2" t="s">
        <v>120</v>
      </c>
      <c r="E210" s="2" t="s">
        <v>23</v>
      </c>
      <c r="F210" s="2" t="s">
        <v>946</v>
      </c>
      <c r="G210" s="2" t="s">
        <v>23</v>
      </c>
      <c r="H210" s="2" t="s">
        <v>947</v>
      </c>
      <c r="I210" s="2" t="s">
        <v>27</v>
      </c>
      <c r="J210" s="2" t="s">
        <v>28</v>
      </c>
      <c r="K210" s="2" t="s">
        <v>29</v>
      </c>
      <c r="L210" s="2" t="s">
        <v>120</v>
      </c>
      <c r="M210" s="2" t="s">
        <v>31</v>
      </c>
      <c r="N210" s="2" t="s">
        <v>948</v>
      </c>
      <c r="O210" s="22" t="s">
        <v>193</v>
      </c>
      <c r="P210" s="22" t="s">
        <v>185</v>
      </c>
    </row>
    <row r="211" spans="1:16" ht="24">
      <c r="A211" s="20" t="s">
        <v>949</v>
      </c>
      <c r="B211" s="2" t="s">
        <v>950</v>
      </c>
      <c r="C211" s="2" t="s">
        <v>951</v>
      </c>
      <c r="D211" s="2" t="s">
        <v>75</v>
      </c>
      <c r="E211" s="2" t="s">
        <v>23</v>
      </c>
      <c r="F211" s="2" t="s">
        <v>952</v>
      </c>
      <c r="G211" s="2" t="s">
        <v>25</v>
      </c>
      <c r="H211" s="2" t="s">
        <v>26</v>
      </c>
      <c r="I211" s="2" t="s">
        <v>67</v>
      </c>
      <c r="J211" s="2" t="s">
        <v>28</v>
      </c>
      <c r="K211" s="2" t="s">
        <v>29</v>
      </c>
      <c r="L211" s="2" t="s">
        <v>75</v>
      </c>
      <c r="M211" s="2" t="s">
        <v>31</v>
      </c>
      <c r="N211" s="2" t="s">
        <v>953</v>
      </c>
      <c r="O211" s="22" t="s">
        <v>954</v>
      </c>
      <c r="P211" s="22" t="s">
        <v>72</v>
      </c>
    </row>
    <row r="212" spans="1:16" ht="24">
      <c r="A212" s="20" t="s">
        <v>949</v>
      </c>
      <c r="B212" s="2" t="s">
        <v>955</v>
      </c>
      <c r="C212" s="2" t="s">
        <v>956</v>
      </c>
      <c r="D212" s="2" t="s">
        <v>75</v>
      </c>
      <c r="E212" s="2" t="s">
        <v>23</v>
      </c>
      <c r="F212" s="2" t="s">
        <v>957</v>
      </c>
      <c r="G212" s="2" t="s">
        <v>25</v>
      </c>
      <c r="H212" s="2" t="s">
        <v>26</v>
      </c>
      <c r="I212" s="2" t="s">
        <v>67</v>
      </c>
      <c r="J212" s="2" t="s">
        <v>28</v>
      </c>
      <c r="K212" s="2" t="s">
        <v>29</v>
      </c>
      <c r="L212" s="2" t="s">
        <v>75</v>
      </c>
      <c r="M212" s="2" t="s">
        <v>31</v>
      </c>
      <c r="N212" s="2" t="s">
        <v>958</v>
      </c>
      <c r="O212" s="22" t="s">
        <v>954</v>
      </c>
      <c r="P212" s="22" t="s">
        <v>72</v>
      </c>
    </row>
    <row r="213" spans="1:16" ht="24">
      <c r="A213" s="20" t="s">
        <v>949</v>
      </c>
      <c r="B213" s="2" t="s">
        <v>959</v>
      </c>
      <c r="C213" s="2" t="s">
        <v>960</v>
      </c>
      <c r="D213" s="2" t="s">
        <v>75</v>
      </c>
      <c r="E213" s="2" t="s">
        <v>25</v>
      </c>
      <c r="F213" s="2" t="s">
        <v>168</v>
      </c>
      <c r="G213" s="2" t="s">
        <v>25</v>
      </c>
      <c r="H213" s="2" t="s">
        <v>26</v>
      </c>
      <c r="I213" s="2" t="s">
        <v>72</v>
      </c>
      <c r="J213" s="2" t="s">
        <v>28</v>
      </c>
      <c r="K213" s="2" t="s">
        <v>29</v>
      </c>
      <c r="L213" s="2" t="s">
        <v>75</v>
      </c>
      <c r="M213" s="2" t="s">
        <v>894</v>
      </c>
      <c r="N213" s="2" t="s">
        <v>961</v>
      </c>
      <c r="O213" s="22" t="s">
        <v>330</v>
      </c>
      <c r="P213" s="22" t="s">
        <v>72</v>
      </c>
    </row>
    <row r="214" spans="1:16" ht="24">
      <c r="A214" s="20" t="s">
        <v>949</v>
      </c>
      <c r="B214" s="2" t="s">
        <v>962</v>
      </c>
      <c r="C214" s="2" t="s">
        <v>963</v>
      </c>
      <c r="D214" s="2" t="s">
        <v>75</v>
      </c>
      <c r="E214" s="2" t="s">
        <v>23</v>
      </c>
      <c r="F214" s="2" t="s">
        <v>964</v>
      </c>
      <c r="G214" s="2" t="s">
        <v>25</v>
      </c>
      <c r="H214" s="2" t="s">
        <v>26</v>
      </c>
      <c r="I214" s="2" t="s">
        <v>67</v>
      </c>
      <c r="J214" s="2" t="s">
        <v>68</v>
      </c>
      <c r="K214" s="2" t="s">
        <v>29</v>
      </c>
      <c r="L214" s="2" t="s">
        <v>75</v>
      </c>
      <c r="M214" s="2" t="s">
        <v>31</v>
      </c>
      <c r="N214" s="2" t="s">
        <v>965</v>
      </c>
      <c r="O214" s="22" t="s">
        <v>954</v>
      </c>
      <c r="P214" s="22" t="s">
        <v>72</v>
      </c>
    </row>
    <row r="215" spans="1:16" ht="24">
      <c r="A215" s="20" t="s">
        <v>949</v>
      </c>
      <c r="B215" s="2" t="s">
        <v>966</v>
      </c>
      <c r="C215" s="2" t="s">
        <v>967</v>
      </c>
      <c r="D215" s="2" t="s">
        <v>75</v>
      </c>
      <c r="E215" s="2" t="s">
        <v>25</v>
      </c>
      <c r="F215" s="2" t="s">
        <v>168</v>
      </c>
      <c r="G215" s="2" t="s">
        <v>25</v>
      </c>
      <c r="H215" s="2" t="s">
        <v>26</v>
      </c>
      <c r="I215" s="2" t="s">
        <v>72</v>
      </c>
      <c r="J215" s="2" t="s">
        <v>28</v>
      </c>
      <c r="K215" s="2" t="s">
        <v>29</v>
      </c>
      <c r="L215" s="2" t="s">
        <v>75</v>
      </c>
      <c r="M215" s="2" t="s">
        <v>894</v>
      </c>
      <c r="N215" s="2" t="s">
        <v>961</v>
      </c>
      <c r="O215" s="22" t="s">
        <v>330</v>
      </c>
      <c r="P215" s="22" t="s">
        <v>72</v>
      </c>
    </row>
    <row r="216" spans="1:16" ht="24">
      <c r="A216" s="20" t="s">
        <v>949</v>
      </c>
      <c r="B216" s="2" t="s">
        <v>968</v>
      </c>
      <c r="C216" s="2" t="s">
        <v>969</v>
      </c>
      <c r="D216" s="2" t="s">
        <v>75</v>
      </c>
      <c r="E216" s="2" t="s">
        <v>23</v>
      </c>
      <c r="F216" s="2" t="s">
        <v>970</v>
      </c>
      <c r="G216" s="2" t="s">
        <v>25</v>
      </c>
      <c r="H216" s="2" t="s">
        <v>26</v>
      </c>
      <c r="I216" s="2" t="s">
        <v>67</v>
      </c>
      <c r="J216" s="2" t="s">
        <v>68</v>
      </c>
      <c r="K216" s="2" t="s">
        <v>29</v>
      </c>
      <c r="L216" s="2" t="s">
        <v>75</v>
      </c>
      <c r="M216" s="2" t="s">
        <v>31</v>
      </c>
      <c r="N216" s="2" t="s">
        <v>971</v>
      </c>
      <c r="O216" s="22" t="s">
        <v>954</v>
      </c>
      <c r="P216" s="22" t="s">
        <v>72</v>
      </c>
    </row>
    <row r="217" spans="1:16" ht="24">
      <c r="A217" s="20" t="s">
        <v>949</v>
      </c>
      <c r="B217" s="2" t="s">
        <v>972</v>
      </c>
      <c r="C217" s="2" t="s">
        <v>973</v>
      </c>
      <c r="D217" s="2" t="s">
        <v>75</v>
      </c>
      <c r="E217" s="2" t="s">
        <v>25</v>
      </c>
      <c r="F217" s="2" t="s">
        <v>168</v>
      </c>
      <c r="G217" s="2" t="s">
        <v>25</v>
      </c>
      <c r="H217" s="2" t="s">
        <v>26</v>
      </c>
      <c r="I217" s="2" t="s">
        <v>72</v>
      </c>
      <c r="J217" s="2" t="s">
        <v>28</v>
      </c>
      <c r="K217" s="2" t="s">
        <v>29</v>
      </c>
      <c r="L217" s="2" t="s">
        <v>75</v>
      </c>
      <c r="M217" s="2" t="s">
        <v>894</v>
      </c>
      <c r="N217" s="2" t="s">
        <v>974</v>
      </c>
      <c r="O217" s="22" t="s">
        <v>170</v>
      </c>
      <c r="P217" s="22" t="s">
        <v>72</v>
      </c>
    </row>
    <row r="218" spans="1:16" ht="36">
      <c r="A218" s="20" t="s">
        <v>949</v>
      </c>
      <c r="B218" s="2" t="s">
        <v>975</v>
      </c>
      <c r="C218" s="2" t="s">
        <v>976</v>
      </c>
      <c r="D218" s="2" t="s">
        <v>75</v>
      </c>
      <c r="E218" s="2" t="s">
        <v>23</v>
      </c>
      <c r="F218" s="2" t="s">
        <v>977</v>
      </c>
      <c r="G218" s="2" t="s">
        <v>25</v>
      </c>
      <c r="H218" s="2" t="s">
        <v>26</v>
      </c>
      <c r="I218" s="2" t="s">
        <v>67</v>
      </c>
      <c r="J218" s="2" t="s">
        <v>68</v>
      </c>
      <c r="K218" s="2" t="s">
        <v>29</v>
      </c>
      <c r="L218" s="2" t="s">
        <v>75</v>
      </c>
      <c r="M218" s="2" t="s">
        <v>31</v>
      </c>
      <c r="N218" s="2" t="s">
        <v>978</v>
      </c>
      <c r="O218" s="22" t="s">
        <v>878</v>
      </c>
      <c r="P218" s="22" t="s">
        <v>72</v>
      </c>
    </row>
    <row r="219" spans="1:16" ht="48">
      <c r="A219" s="20" t="s">
        <v>949</v>
      </c>
      <c r="B219" s="2" t="s">
        <v>979</v>
      </c>
      <c r="C219" s="2" t="s">
        <v>980</v>
      </c>
      <c r="D219" s="2" t="s">
        <v>75</v>
      </c>
      <c r="E219" s="2" t="s">
        <v>23</v>
      </c>
      <c r="F219" s="2" t="s">
        <v>981</v>
      </c>
      <c r="G219" s="2" t="s">
        <v>25</v>
      </c>
      <c r="H219" s="2" t="s">
        <v>26</v>
      </c>
      <c r="I219" s="2" t="s">
        <v>27</v>
      </c>
      <c r="J219" s="2" t="s">
        <v>28</v>
      </c>
      <c r="K219" s="2" t="s">
        <v>29</v>
      </c>
      <c r="L219" s="2" t="s">
        <v>75</v>
      </c>
      <c r="M219" s="2" t="s">
        <v>31</v>
      </c>
      <c r="N219" s="2" t="s">
        <v>982</v>
      </c>
      <c r="O219" s="22" t="s">
        <v>165</v>
      </c>
      <c r="P219" s="22" t="s">
        <v>165</v>
      </c>
    </row>
    <row r="220" spans="1:16" ht="24">
      <c r="A220" s="20" t="s">
        <v>949</v>
      </c>
      <c r="B220" s="2" t="s">
        <v>983</v>
      </c>
      <c r="C220" s="2" t="s">
        <v>984</v>
      </c>
      <c r="D220" s="2" t="s">
        <v>75</v>
      </c>
      <c r="E220" s="2" t="s">
        <v>23</v>
      </c>
      <c r="F220" s="2" t="s">
        <v>985</v>
      </c>
      <c r="G220" s="2" t="s">
        <v>25</v>
      </c>
      <c r="H220" s="2" t="s">
        <v>26</v>
      </c>
      <c r="I220" s="2" t="s">
        <v>27</v>
      </c>
      <c r="J220" s="2" t="s">
        <v>68</v>
      </c>
      <c r="K220" s="2" t="s">
        <v>29</v>
      </c>
      <c r="L220" s="2" t="s">
        <v>75</v>
      </c>
      <c r="M220" s="2" t="s">
        <v>31</v>
      </c>
      <c r="N220" s="2" t="s">
        <v>986</v>
      </c>
      <c r="O220" s="22" t="s">
        <v>78</v>
      </c>
      <c r="P220" s="22" t="s">
        <v>123</v>
      </c>
    </row>
    <row r="221" spans="1:16" ht="24">
      <c r="A221" s="20" t="s">
        <v>949</v>
      </c>
      <c r="B221" s="2" t="s">
        <v>987</v>
      </c>
      <c r="C221" s="2" t="s">
        <v>988</v>
      </c>
      <c r="D221" s="2" t="s">
        <v>75</v>
      </c>
      <c r="E221" s="2" t="s">
        <v>23</v>
      </c>
      <c r="F221" s="2" t="s">
        <v>989</v>
      </c>
      <c r="G221" s="2" t="s">
        <v>25</v>
      </c>
      <c r="H221" s="2" t="s">
        <v>26</v>
      </c>
      <c r="I221" s="2" t="s">
        <v>27</v>
      </c>
      <c r="J221" s="2" t="s">
        <v>68</v>
      </c>
      <c r="K221" s="2" t="s">
        <v>29</v>
      </c>
      <c r="L221" s="2" t="s">
        <v>75</v>
      </c>
      <c r="M221" s="2" t="s">
        <v>31</v>
      </c>
      <c r="N221" s="2" t="s">
        <v>990</v>
      </c>
      <c r="O221" s="22" t="s">
        <v>123</v>
      </c>
      <c r="P221" s="22" t="s">
        <v>129</v>
      </c>
    </row>
    <row r="222" spans="1:16" ht="24">
      <c r="A222" s="20" t="s">
        <v>949</v>
      </c>
      <c r="B222" s="2" t="s">
        <v>991</v>
      </c>
      <c r="C222" s="2" t="s">
        <v>992</v>
      </c>
      <c r="D222" s="2" t="s">
        <v>75</v>
      </c>
      <c r="E222" s="2" t="s">
        <v>25</v>
      </c>
      <c r="F222" s="2" t="s">
        <v>38</v>
      </c>
      <c r="G222" s="2" t="s">
        <v>25</v>
      </c>
      <c r="H222" s="2" t="s">
        <v>26</v>
      </c>
      <c r="I222" s="2" t="s">
        <v>72</v>
      </c>
      <c r="J222" s="2" t="s">
        <v>68</v>
      </c>
      <c r="K222" s="2" t="s">
        <v>54</v>
      </c>
      <c r="L222" s="2" t="s">
        <v>75</v>
      </c>
      <c r="M222" s="2" t="s">
        <v>69</v>
      </c>
      <c r="N222" s="2" t="s">
        <v>993</v>
      </c>
      <c r="O222" s="22" t="s">
        <v>330</v>
      </c>
      <c r="P222" s="22" t="s">
        <v>72</v>
      </c>
    </row>
    <row r="223" spans="1:16" ht="24">
      <c r="A223" s="20" t="s">
        <v>949</v>
      </c>
      <c r="B223" s="2" t="s">
        <v>994</v>
      </c>
      <c r="C223" s="2" t="s">
        <v>995</v>
      </c>
      <c r="D223" s="2" t="s">
        <v>75</v>
      </c>
      <c r="E223" s="2" t="s">
        <v>23</v>
      </c>
      <c r="F223" s="2" t="s">
        <v>996</v>
      </c>
      <c r="G223" s="2" t="s">
        <v>25</v>
      </c>
      <c r="H223" s="2" t="s">
        <v>26</v>
      </c>
      <c r="I223" s="2" t="s">
        <v>67</v>
      </c>
      <c r="J223" s="2" t="s">
        <v>28</v>
      </c>
      <c r="K223" s="2" t="s">
        <v>29</v>
      </c>
      <c r="L223" s="2" t="s">
        <v>75</v>
      </c>
      <c r="M223" s="2" t="s">
        <v>31</v>
      </c>
      <c r="N223" s="2" t="s">
        <v>997</v>
      </c>
      <c r="O223" s="22" t="s">
        <v>878</v>
      </c>
      <c r="P223" s="22" t="s">
        <v>72</v>
      </c>
    </row>
    <row r="224" spans="1:16" ht="48">
      <c r="A224" s="20" t="s">
        <v>949</v>
      </c>
      <c r="B224" s="2" t="s">
        <v>998</v>
      </c>
      <c r="C224" s="2" t="s">
        <v>999</v>
      </c>
      <c r="D224" s="2" t="s">
        <v>75</v>
      </c>
      <c r="E224" s="2" t="s">
        <v>23</v>
      </c>
      <c r="F224" s="2" t="s">
        <v>1000</v>
      </c>
      <c r="G224" s="2" t="s">
        <v>25</v>
      </c>
      <c r="H224" s="2" t="s">
        <v>26</v>
      </c>
      <c r="I224" s="2" t="s">
        <v>27</v>
      </c>
      <c r="J224" s="2" t="s">
        <v>28</v>
      </c>
      <c r="K224" s="2" t="s">
        <v>29</v>
      </c>
      <c r="L224" s="2" t="s">
        <v>75</v>
      </c>
      <c r="M224" s="2" t="s">
        <v>31</v>
      </c>
      <c r="N224" s="2" t="s">
        <v>1001</v>
      </c>
      <c r="O224" s="22" t="s">
        <v>129</v>
      </c>
      <c r="P224" s="22" t="s">
        <v>1002</v>
      </c>
    </row>
    <row r="225" spans="1:16" ht="24">
      <c r="A225" s="20" t="s">
        <v>949</v>
      </c>
      <c r="B225" s="2" t="s">
        <v>1003</v>
      </c>
      <c r="C225" s="2" t="s">
        <v>1004</v>
      </c>
      <c r="D225" s="2" t="s">
        <v>75</v>
      </c>
      <c r="E225" s="2" t="s">
        <v>23</v>
      </c>
      <c r="F225" s="2" t="s">
        <v>1005</v>
      </c>
      <c r="G225" s="2" t="s">
        <v>25</v>
      </c>
      <c r="H225" s="2" t="s">
        <v>26</v>
      </c>
      <c r="I225" s="2" t="s">
        <v>27</v>
      </c>
      <c r="J225" s="2" t="s">
        <v>28</v>
      </c>
      <c r="K225" s="2" t="s">
        <v>29</v>
      </c>
      <c r="L225" s="2" t="s">
        <v>75</v>
      </c>
      <c r="M225" s="2" t="s">
        <v>31</v>
      </c>
      <c r="N225" s="2" t="s">
        <v>1006</v>
      </c>
      <c r="O225" s="22" t="s">
        <v>117</v>
      </c>
      <c r="P225" s="22" t="s">
        <v>129</v>
      </c>
    </row>
    <row r="226" spans="1:16" ht="72">
      <c r="A226" s="20" t="s">
        <v>949</v>
      </c>
      <c r="B226" s="2" t="s">
        <v>1007</v>
      </c>
      <c r="C226" s="2" t="s">
        <v>1008</v>
      </c>
      <c r="D226" s="2" t="s">
        <v>75</v>
      </c>
      <c r="E226" s="2" t="s">
        <v>23</v>
      </c>
      <c r="F226" s="2" t="s">
        <v>1009</v>
      </c>
      <c r="G226" s="2" t="s">
        <v>25</v>
      </c>
      <c r="H226" s="2" t="s">
        <v>26</v>
      </c>
      <c r="I226" s="2" t="s">
        <v>27</v>
      </c>
      <c r="J226" s="2" t="s">
        <v>68</v>
      </c>
      <c r="K226" s="2" t="s">
        <v>29</v>
      </c>
      <c r="L226" s="2" t="s">
        <v>75</v>
      </c>
      <c r="M226" s="2" t="s">
        <v>31</v>
      </c>
      <c r="N226" s="2" t="s">
        <v>1010</v>
      </c>
      <c r="O226" s="22" t="s">
        <v>129</v>
      </c>
      <c r="P226" s="22" t="s">
        <v>878</v>
      </c>
    </row>
    <row r="227" spans="1:16" ht="24">
      <c r="A227" s="21" t="s">
        <v>1011</v>
      </c>
      <c r="B227" s="2" t="s">
        <v>1012</v>
      </c>
      <c r="C227" s="2" t="s">
        <v>1013</v>
      </c>
      <c r="D227" s="2" t="s">
        <v>1014</v>
      </c>
      <c r="E227" s="2" t="s">
        <v>25</v>
      </c>
      <c r="F227" s="2" t="s">
        <v>38</v>
      </c>
      <c r="G227" s="2" t="s">
        <v>25</v>
      </c>
      <c r="H227" s="2" t="s">
        <v>26</v>
      </c>
      <c r="I227" s="2" t="s">
        <v>67</v>
      </c>
      <c r="J227" s="2" t="s">
        <v>28</v>
      </c>
      <c r="K227" s="2" t="s">
        <v>29</v>
      </c>
      <c r="L227" s="2" t="s">
        <v>1014</v>
      </c>
      <c r="M227" s="2" t="s">
        <v>69</v>
      </c>
      <c r="N227" s="2" t="s">
        <v>1015</v>
      </c>
      <c r="O227" s="22" t="s">
        <v>954</v>
      </c>
      <c r="P227" s="22" t="s">
        <v>72</v>
      </c>
    </row>
    <row r="228" spans="1:16" ht="24">
      <c r="A228" s="21" t="s">
        <v>1011</v>
      </c>
      <c r="B228" s="2" t="s">
        <v>1016</v>
      </c>
      <c r="C228" s="2" t="s">
        <v>1017</v>
      </c>
      <c r="D228" s="2" t="s">
        <v>1014</v>
      </c>
      <c r="E228" s="2" t="s">
        <v>23</v>
      </c>
      <c r="F228" s="2" t="s">
        <v>1018</v>
      </c>
      <c r="G228" s="2" t="s">
        <v>25</v>
      </c>
      <c r="H228" s="2" t="s">
        <v>26</v>
      </c>
      <c r="I228" s="2" t="s">
        <v>67</v>
      </c>
      <c r="J228" s="2" t="s">
        <v>28</v>
      </c>
      <c r="K228" s="2" t="s">
        <v>29</v>
      </c>
      <c r="L228" s="2" t="s">
        <v>1014</v>
      </c>
      <c r="M228" s="2" t="s">
        <v>31</v>
      </c>
      <c r="N228" s="2" t="s">
        <v>1019</v>
      </c>
      <c r="O228" s="22" t="s">
        <v>878</v>
      </c>
      <c r="P228" s="22" t="s">
        <v>72</v>
      </c>
    </row>
    <row r="229" spans="1:16" ht="36">
      <c r="A229" s="21" t="s">
        <v>1011</v>
      </c>
      <c r="B229" s="2" t="s">
        <v>1020</v>
      </c>
      <c r="C229" s="2" t="s">
        <v>1021</v>
      </c>
      <c r="D229" s="2" t="s">
        <v>1014</v>
      </c>
      <c r="E229" s="2" t="s">
        <v>23</v>
      </c>
      <c r="F229" s="2" t="s">
        <v>1022</v>
      </c>
      <c r="G229" s="2" t="s">
        <v>25</v>
      </c>
      <c r="H229" s="2" t="s">
        <v>26</v>
      </c>
      <c r="I229" s="2" t="s">
        <v>67</v>
      </c>
      <c r="J229" s="2" t="s">
        <v>28</v>
      </c>
      <c r="K229" s="2" t="s">
        <v>29</v>
      </c>
      <c r="L229" s="2" t="s">
        <v>1014</v>
      </c>
      <c r="M229" s="2" t="s">
        <v>31</v>
      </c>
      <c r="N229" s="2" t="s">
        <v>1023</v>
      </c>
      <c r="O229" s="22" t="s">
        <v>193</v>
      </c>
      <c r="P229" s="22" t="s">
        <v>72</v>
      </c>
    </row>
    <row r="230" spans="1:16">
      <c r="A230" s="21" t="s">
        <v>1011</v>
      </c>
      <c r="B230" s="2" t="s">
        <v>1024</v>
      </c>
      <c r="C230" s="2" t="s">
        <v>1025</v>
      </c>
      <c r="D230" s="2" t="s">
        <v>1014</v>
      </c>
      <c r="E230" s="2" t="s">
        <v>25</v>
      </c>
      <c r="F230" s="2" t="s">
        <v>38</v>
      </c>
      <c r="G230" s="2" t="s">
        <v>25</v>
      </c>
      <c r="H230" s="2" t="s">
        <v>26</v>
      </c>
      <c r="I230" s="2" t="s">
        <v>72</v>
      </c>
      <c r="J230" s="2" t="s">
        <v>68</v>
      </c>
      <c r="K230" s="2" t="s">
        <v>29</v>
      </c>
      <c r="L230" s="2" t="s">
        <v>1014</v>
      </c>
      <c r="M230" s="2" t="s">
        <v>69</v>
      </c>
      <c r="N230" s="2" t="s">
        <v>1026</v>
      </c>
      <c r="O230" s="22" t="s">
        <v>330</v>
      </c>
      <c r="P230" s="22" t="s">
        <v>72</v>
      </c>
    </row>
    <row r="231" spans="1:16">
      <c r="A231" s="21" t="s">
        <v>1011</v>
      </c>
      <c r="B231" s="2" t="s">
        <v>1027</v>
      </c>
      <c r="C231" s="2" t="s">
        <v>1028</v>
      </c>
      <c r="D231" s="2" t="s">
        <v>1014</v>
      </c>
      <c r="E231" s="2" t="s">
        <v>25</v>
      </c>
      <c r="F231" s="2" t="s">
        <v>38</v>
      </c>
      <c r="G231" s="2" t="s">
        <v>25</v>
      </c>
      <c r="H231" s="2" t="s">
        <v>26</v>
      </c>
      <c r="I231" s="2" t="s">
        <v>72</v>
      </c>
      <c r="J231" s="2" t="s">
        <v>68</v>
      </c>
      <c r="K231" s="2" t="s">
        <v>29</v>
      </c>
      <c r="L231" s="2" t="s">
        <v>1014</v>
      </c>
      <c r="M231" s="2" t="s">
        <v>69</v>
      </c>
      <c r="N231" s="2" t="s">
        <v>1029</v>
      </c>
      <c r="O231" s="22" t="s">
        <v>330</v>
      </c>
      <c r="P231" s="22" t="s">
        <v>72</v>
      </c>
    </row>
    <row r="232" spans="1:16" ht="24">
      <c r="A232" s="21" t="s">
        <v>1011</v>
      </c>
      <c r="B232" s="2" t="s">
        <v>1030</v>
      </c>
      <c r="C232" s="2" t="s">
        <v>1031</v>
      </c>
      <c r="D232" s="2" t="s">
        <v>1014</v>
      </c>
      <c r="E232" s="2" t="s">
        <v>23</v>
      </c>
      <c r="F232" s="2" t="s">
        <v>1032</v>
      </c>
      <c r="G232" s="2" t="s">
        <v>25</v>
      </c>
      <c r="H232" s="2" t="s">
        <v>26</v>
      </c>
      <c r="I232" s="2" t="s">
        <v>67</v>
      </c>
      <c r="J232" s="2" t="s">
        <v>28</v>
      </c>
      <c r="K232" s="2" t="s">
        <v>29</v>
      </c>
      <c r="L232" s="2" t="s">
        <v>1014</v>
      </c>
      <c r="M232" s="2" t="s">
        <v>31</v>
      </c>
      <c r="N232" s="2" t="s">
        <v>1033</v>
      </c>
      <c r="O232" s="22" t="s">
        <v>193</v>
      </c>
      <c r="P232" s="22" t="s">
        <v>72</v>
      </c>
    </row>
    <row r="233" spans="1:16" ht="24">
      <c r="A233" s="21" t="s">
        <v>1011</v>
      </c>
      <c r="B233" s="2" t="s">
        <v>1034</v>
      </c>
      <c r="C233" s="2" t="s">
        <v>1035</v>
      </c>
      <c r="D233" s="2" t="s">
        <v>1014</v>
      </c>
      <c r="E233" s="2" t="s">
        <v>23</v>
      </c>
      <c r="F233" s="2" t="s">
        <v>1036</v>
      </c>
      <c r="G233" s="2" t="s">
        <v>23</v>
      </c>
      <c r="H233" s="2" t="s">
        <v>197</v>
      </c>
      <c r="I233" s="2" t="s">
        <v>67</v>
      </c>
      <c r="J233" s="2" t="s">
        <v>28</v>
      </c>
      <c r="K233" s="2" t="s">
        <v>29</v>
      </c>
      <c r="L233" s="2" t="s">
        <v>1014</v>
      </c>
      <c r="M233" s="2" t="s">
        <v>69</v>
      </c>
      <c r="N233" s="2" t="s">
        <v>1037</v>
      </c>
      <c r="O233" s="22" t="s">
        <v>193</v>
      </c>
      <c r="P233" s="22" t="s">
        <v>72</v>
      </c>
    </row>
    <row r="234" spans="1:16" ht="72">
      <c r="A234" s="21" t="s">
        <v>1011</v>
      </c>
      <c r="B234" s="2" t="s">
        <v>1038</v>
      </c>
      <c r="C234" s="2" t="s">
        <v>1039</v>
      </c>
      <c r="D234" s="2" t="s">
        <v>1014</v>
      </c>
      <c r="E234" s="2" t="s">
        <v>23</v>
      </c>
      <c r="F234" s="2" t="s">
        <v>1040</v>
      </c>
      <c r="G234" s="2" t="s">
        <v>23</v>
      </c>
      <c r="H234" s="2" t="s">
        <v>1041</v>
      </c>
      <c r="I234" s="2" t="s">
        <v>67</v>
      </c>
      <c r="J234" s="2" t="s">
        <v>28</v>
      </c>
      <c r="K234" s="2" t="s">
        <v>29</v>
      </c>
      <c r="L234" s="2" t="s">
        <v>1014</v>
      </c>
      <c r="M234" s="2" t="s">
        <v>31</v>
      </c>
      <c r="N234" s="2" t="s">
        <v>1042</v>
      </c>
      <c r="O234" s="22" t="s">
        <v>165</v>
      </c>
      <c r="P234" s="22" t="s">
        <v>72</v>
      </c>
    </row>
    <row r="235" spans="1:16">
      <c r="A235" s="21" t="s">
        <v>1011</v>
      </c>
      <c r="B235" s="2" t="s">
        <v>1043</v>
      </c>
      <c r="C235" s="2" t="s">
        <v>1044</v>
      </c>
      <c r="D235" s="2" t="s">
        <v>1014</v>
      </c>
      <c r="E235" s="2" t="s">
        <v>23</v>
      </c>
      <c r="F235" s="2" t="s">
        <v>1045</v>
      </c>
      <c r="G235" s="2" t="s">
        <v>25</v>
      </c>
      <c r="H235" s="2" t="s">
        <v>26</v>
      </c>
      <c r="I235" s="2" t="s">
        <v>27</v>
      </c>
      <c r="J235" s="2" t="s">
        <v>68</v>
      </c>
      <c r="K235" s="2" t="s">
        <v>29</v>
      </c>
      <c r="L235" s="2" t="s">
        <v>75</v>
      </c>
      <c r="M235" s="2" t="s">
        <v>31</v>
      </c>
      <c r="N235" s="2" t="s">
        <v>1046</v>
      </c>
      <c r="O235" s="22" t="s">
        <v>129</v>
      </c>
      <c r="P235" s="22" t="s">
        <v>1002</v>
      </c>
    </row>
    <row r="236" spans="1:16" ht="36">
      <c r="A236" s="21" t="s">
        <v>1011</v>
      </c>
      <c r="B236" s="2" t="s">
        <v>1047</v>
      </c>
      <c r="C236" s="2" t="s">
        <v>1048</v>
      </c>
      <c r="D236" s="2" t="s">
        <v>1014</v>
      </c>
      <c r="E236" s="2" t="s">
        <v>23</v>
      </c>
      <c r="F236" s="2" t="s">
        <v>1049</v>
      </c>
      <c r="G236" s="2" t="s">
        <v>25</v>
      </c>
      <c r="H236" s="2" t="s">
        <v>26</v>
      </c>
      <c r="I236" s="2" t="s">
        <v>67</v>
      </c>
      <c r="J236" s="2" t="s">
        <v>68</v>
      </c>
      <c r="K236" s="2" t="s">
        <v>29</v>
      </c>
      <c r="L236" s="2" t="s">
        <v>75</v>
      </c>
      <c r="M236" s="2" t="s">
        <v>31</v>
      </c>
      <c r="N236" s="2" t="s">
        <v>1050</v>
      </c>
      <c r="O236" s="22" t="s">
        <v>878</v>
      </c>
      <c r="P236" s="22" t="s">
        <v>72</v>
      </c>
    </row>
    <row r="237" spans="1:16" ht="24">
      <c r="A237" s="21" t="s">
        <v>1011</v>
      </c>
      <c r="B237" s="2" t="s">
        <v>1051</v>
      </c>
      <c r="C237" s="2" t="s">
        <v>1052</v>
      </c>
      <c r="D237" s="2" t="s">
        <v>1014</v>
      </c>
      <c r="E237" s="2" t="s">
        <v>23</v>
      </c>
      <c r="F237" s="2" t="s">
        <v>1053</v>
      </c>
      <c r="G237" s="2" t="s">
        <v>25</v>
      </c>
      <c r="H237" s="2" t="s">
        <v>26</v>
      </c>
      <c r="I237" s="2" t="s">
        <v>67</v>
      </c>
      <c r="J237" s="2" t="s">
        <v>28</v>
      </c>
      <c r="K237" s="2" t="s">
        <v>29</v>
      </c>
      <c r="L237" s="2" t="s">
        <v>234</v>
      </c>
      <c r="M237" s="2" t="s">
        <v>31</v>
      </c>
      <c r="N237" s="2" t="s">
        <v>1054</v>
      </c>
      <c r="O237" s="22" t="s">
        <v>878</v>
      </c>
      <c r="P237" s="22" t="s">
        <v>72</v>
      </c>
    </row>
    <row r="238" spans="1:16">
      <c r="A238" s="21" t="s">
        <v>1011</v>
      </c>
      <c r="B238" s="2" t="s">
        <v>1055</v>
      </c>
      <c r="C238" s="2" t="s">
        <v>1056</v>
      </c>
      <c r="D238" s="2" t="s">
        <v>1014</v>
      </c>
      <c r="E238" s="2" t="s">
        <v>25</v>
      </c>
      <c r="F238" s="2" t="s">
        <v>38</v>
      </c>
      <c r="G238" s="2" t="s">
        <v>25</v>
      </c>
      <c r="H238" s="2" t="s">
        <v>26</v>
      </c>
      <c r="I238" s="2" t="s">
        <v>72</v>
      </c>
      <c r="J238" s="2" t="s">
        <v>28</v>
      </c>
      <c r="K238" s="2" t="s">
        <v>29</v>
      </c>
      <c r="L238" s="2" t="s">
        <v>75</v>
      </c>
      <c r="M238" s="2" t="s">
        <v>69</v>
      </c>
      <c r="N238" s="2" t="s">
        <v>1057</v>
      </c>
      <c r="O238" s="22" t="s">
        <v>170</v>
      </c>
      <c r="P238" s="22" t="s">
        <v>72</v>
      </c>
    </row>
  </sheetData>
  <mergeCells count="3">
    <mergeCell ref="A1:P1"/>
    <mergeCell ref="A2:P2"/>
    <mergeCell ref="A3:P3"/>
  </mergeCells>
  <conditionalFormatting sqref="I5:I238">
    <cfRule type="expression" dxfId="8" priority="1">
      <formula>I5="Completado"</formula>
    </cfRule>
    <cfRule type="expression" dxfId="7" priority="2">
      <formula>I5="En proceso"</formula>
    </cfRule>
    <cfRule type="expression" dxfId="6" priority="3">
      <formula>I5="Pendiente"</formula>
    </cfRule>
    <cfRule type="expression" dxfId="5" priority="4">
      <formula>I5="Observado"</formula>
    </cfRule>
    <cfRule type="expression" dxfId="4" priority="5">
      <formula>I5="No implementado"</formula>
    </cfRule>
    <cfRule type="expression" dxfId="3" priority="6">
      <formula>I5="No aplica"</formula>
    </cfRule>
  </conditionalFormatting>
  <conditionalFormatting sqref="A5:P238">
    <cfRule type="expression" dxfId="2" priority="7">
      <formula>$I5="Observado"</formula>
    </cfRule>
    <cfRule type="expression" dxfId="1" priority="8">
      <formula>$I5="Pendiente"</formula>
    </cfRule>
    <cfRule type="expression" dxfId="0" priority="9">
      <formula>$E5="No"</formula>
    </cfRule>
  </conditionalFormatting>
  <dataValidations count="6">
    <dataValidation type="list" sqref="E5:E238 G5:G238" xr:uid="{00000000-0002-0000-0000-000000000000}">
      <formula1>"Sí,No,No aplica"</formula1>
    </dataValidation>
    <dataValidation type="list" sqref="I5:I238" xr:uid="{00000000-0002-0000-0000-000002000000}">
      <formula1>"Completado,En proceso,Pendiente,Observado,No implementado,No aplica"</formula1>
    </dataValidation>
    <dataValidation type="list" sqref="J5:J238" xr:uid="{00000000-0002-0000-0000-000003000000}">
      <formula1>"Alta,Media,Baja"</formula1>
    </dataValidation>
    <dataValidation type="list" sqref="M5:M238" xr:uid="{00000000-0002-0000-0000-000004000000}">
      <formula1>"Bajo,Medio,Alto"</formula1>
    </dataValidation>
    <dataValidation type="list" sqref="L5:L238" xr:uid="{00000000-0002-0000-0000-000005000000}">
      <formula1>"Backend,Frontend,Base de datos,ML,Documentación,Pruebas,DevOps,Seguridad,Reportes,Integración,Validación institucional"</formula1>
    </dataValidation>
    <dataValidation type="list" sqref="K5:K238" xr:uid="{00000000-0002-0000-0000-000006000000}">
      <formula1>"Diego Ricardo Carhuamaca Vasquez,Ernesto Marcial Constantino Chuchon Sotelo,Equipo SIDERAE"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>
      <selection sqref="A1:H1"/>
    </sheetView>
  </sheetViews>
  <sheetFormatPr baseColWidth="10" defaultColWidth="9" defaultRowHeight="14.25"/>
  <cols>
    <col min="1" max="1" width="38" customWidth="1"/>
    <col min="2" max="2" width="14" customWidth="1"/>
    <col min="3" max="3" width="18" customWidth="1"/>
    <col min="4" max="4" width="24" customWidth="1"/>
    <col min="5" max="5" width="12" customWidth="1"/>
    <col min="6" max="9" width="18" customWidth="1"/>
    <col min="10" max="10" width="14" customWidth="1"/>
  </cols>
  <sheetData>
    <row r="1" spans="1:11" ht="26.1" customHeight="1">
      <c r="A1" s="30" t="s">
        <v>1058</v>
      </c>
      <c r="B1" s="30"/>
      <c r="C1" s="30"/>
      <c r="D1" s="30"/>
      <c r="E1" s="30"/>
      <c r="F1" s="30"/>
      <c r="G1" s="30"/>
      <c r="H1" s="30"/>
      <c r="I1" s="23"/>
      <c r="J1" s="23"/>
      <c r="K1" s="23"/>
    </row>
    <row r="2" spans="1:11" ht="21.95" customHeight="1">
      <c r="A2" s="31" t="s">
        <v>1059</v>
      </c>
      <c r="B2" s="31"/>
      <c r="C2" s="31"/>
      <c r="D2" s="31"/>
      <c r="E2" s="31"/>
      <c r="F2" s="31"/>
      <c r="G2" s="31"/>
      <c r="H2" s="31"/>
      <c r="I2" s="23"/>
      <c r="J2" s="23"/>
      <c r="K2" s="23"/>
    </row>
    <row r="3" spans="1:1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>
      <c r="A4" s="26" t="s">
        <v>1060</v>
      </c>
      <c r="B4" s="26" t="s">
        <v>1061</v>
      </c>
      <c r="C4" s="26" t="s">
        <v>1062</v>
      </c>
      <c r="D4" s="26"/>
      <c r="E4" s="24"/>
      <c r="F4" s="26" t="s">
        <v>11</v>
      </c>
      <c r="G4" s="26" t="s">
        <v>1063</v>
      </c>
      <c r="H4" s="24"/>
      <c r="I4" s="24"/>
      <c r="J4" s="24"/>
      <c r="K4" s="23"/>
    </row>
    <row r="5" spans="1:11" ht="25.5">
      <c r="A5" s="24" t="s">
        <v>1064</v>
      </c>
      <c r="B5" s="24">
        <f>COUNTA(Bolts!$B$5:$B$238)</f>
        <v>234</v>
      </c>
      <c r="C5" s="24" t="s">
        <v>1065</v>
      </c>
      <c r="D5" s="24"/>
      <c r="E5" s="24"/>
      <c r="F5" s="24" t="s">
        <v>27</v>
      </c>
      <c r="G5" s="24">
        <f>COUNTIF(Bolts!$I$5:$I$238,"Completado")</f>
        <v>160</v>
      </c>
      <c r="H5" s="24"/>
      <c r="I5" s="24"/>
      <c r="J5" s="24"/>
      <c r="K5" s="23"/>
    </row>
    <row r="6" spans="1:11" ht="25.5">
      <c r="A6" s="24" t="s">
        <v>1066</v>
      </c>
      <c r="B6" s="24">
        <f>COUNTIF(Bolts!$I$5:$I$238,"Completado")</f>
        <v>160</v>
      </c>
      <c r="C6" s="24" t="s">
        <v>1067</v>
      </c>
      <c r="D6" s="24"/>
      <c r="E6" s="24"/>
      <c r="F6" s="24" t="s">
        <v>67</v>
      </c>
      <c r="G6" s="24">
        <f>COUNTIF(Bolts!$I$5:$I$238,"En proceso")</f>
        <v>47</v>
      </c>
      <c r="H6" s="24"/>
      <c r="I6" s="24"/>
      <c r="J6" s="24"/>
      <c r="K6" s="23"/>
    </row>
    <row r="7" spans="1:11">
      <c r="A7" s="24" t="s">
        <v>67</v>
      </c>
      <c r="B7" s="24">
        <f>COUNTIF(Bolts!$I$5:$I$238,"En proceso")</f>
        <v>47</v>
      </c>
      <c r="C7" s="24" t="s">
        <v>1068</v>
      </c>
      <c r="D7" s="24"/>
      <c r="E7" s="24"/>
      <c r="F7" s="24" t="s">
        <v>72</v>
      </c>
      <c r="G7" s="24">
        <f>COUNTIF(Bolts!$I$5:$I$238,"Pendiente")</f>
        <v>25</v>
      </c>
      <c r="H7" s="24"/>
      <c r="I7" s="24"/>
      <c r="J7" s="24"/>
      <c r="K7" s="23"/>
    </row>
    <row r="8" spans="1:11" ht="25.5">
      <c r="A8" s="24" t="s">
        <v>1069</v>
      </c>
      <c r="B8" s="24">
        <f>COUNTIF(Bolts!$I$5:$I$238,"Pendiente")</f>
        <v>25</v>
      </c>
      <c r="C8" s="24" t="s">
        <v>1070</v>
      </c>
      <c r="D8" s="24"/>
      <c r="E8" s="24"/>
      <c r="F8" s="24" t="s">
        <v>380</v>
      </c>
      <c r="G8" s="24">
        <f>COUNTIF(Bolts!$I$5:$I$238,"Observado")</f>
        <v>2</v>
      </c>
      <c r="H8" s="24"/>
      <c r="I8" s="24"/>
      <c r="J8" s="24"/>
      <c r="K8" s="23"/>
    </row>
    <row r="9" spans="1:11" ht="38.25">
      <c r="A9" s="24" t="s">
        <v>1071</v>
      </c>
      <c r="B9" s="24">
        <f>COUNTIF(Bolts!$I$5:$I$238,"Observado")</f>
        <v>2</v>
      </c>
      <c r="C9" s="24" t="s">
        <v>1072</v>
      </c>
      <c r="D9" s="24"/>
      <c r="E9" s="24"/>
      <c r="F9" s="24" t="s">
        <v>1073</v>
      </c>
      <c r="G9" s="24">
        <f>COUNTIF(Bolts!$I$5:$I$238,"No implementado")</f>
        <v>0</v>
      </c>
      <c r="H9" s="24"/>
      <c r="I9" s="24"/>
      <c r="J9" s="24"/>
      <c r="K9" s="23"/>
    </row>
    <row r="10" spans="1:11" ht="25.5">
      <c r="A10" s="24" t="s">
        <v>1074</v>
      </c>
      <c r="B10" s="24">
        <f>COUNTIF(Bolts!$I$5:$I$238,"No implementado")</f>
        <v>0</v>
      </c>
      <c r="C10" s="24" t="s">
        <v>1075</v>
      </c>
      <c r="D10" s="24"/>
      <c r="E10" s="24"/>
      <c r="F10" s="24"/>
      <c r="G10" s="24"/>
      <c r="H10" s="24"/>
      <c r="I10" s="24"/>
      <c r="J10" s="24"/>
      <c r="K10" s="23"/>
    </row>
    <row r="11" spans="1:11">
      <c r="A11" s="24" t="s">
        <v>1076</v>
      </c>
      <c r="B11" s="25">
        <f>IFERROR(B6/B5,0)</f>
        <v>0.68376068376068377</v>
      </c>
      <c r="C11" s="24" t="s">
        <v>1077</v>
      </c>
      <c r="D11" s="24"/>
      <c r="E11" s="24"/>
      <c r="F11" s="24"/>
      <c r="G11" s="24"/>
      <c r="H11" s="24"/>
      <c r="I11" s="24"/>
      <c r="J11" s="24"/>
      <c r="K11" s="23"/>
    </row>
    <row r="12" spans="1:1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3"/>
    </row>
    <row r="13" spans="1:11">
      <c r="A13" s="26" t="s">
        <v>12</v>
      </c>
      <c r="B13" s="26" t="s">
        <v>1063</v>
      </c>
      <c r="C13" s="24"/>
      <c r="D13" s="26" t="s">
        <v>1078</v>
      </c>
      <c r="E13" s="26" t="s">
        <v>1063</v>
      </c>
      <c r="F13" s="24"/>
      <c r="G13" s="24"/>
      <c r="H13" s="24"/>
      <c r="I13" s="24"/>
      <c r="J13" s="24"/>
      <c r="K13" s="23"/>
    </row>
    <row r="14" spans="1:11">
      <c r="A14" s="24" t="s">
        <v>28</v>
      </c>
      <c r="B14" s="24">
        <f>COUNTIF(Bolts!$J$5:$J$238,"Alta")</f>
        <v>169</v>
      </c>
      <c r="C14" s="24"/>
      <c r="D14" s="24" t="s">
        <v>1079</v>
      </c>
      <c r="E14" s="24">
        <f>COUNTIF(Bolts!$E$5:$E$238,"Sí")</f>
        <v>208</v>
      </c>
      <c r="F14" s="24"/>
      <c r="G14" s="24"/>
      <c r="H14" s="24"/>
      <c r="I14" s="24"/>
      <c r="J14" s="24"/>
      <c r="K14" s="23"/>
    </row>
    <row r="15" spans="1:11">
      <c r="A15" s="24" t="s">
        <v>68</v>
      </c>
      <c r="B15" s="24">
        <f>COUNTIF(Bolts!$J$5:$J$238,"Media")</f>
        <v>64</v>
      </c>
      <c r="C15" s="24"/>
      <c r="D15" s="24" t="s">
        <v>1080</v>
      </c>
      <c r="E15" s="24">
        <f>COUNTIF(Bolts!$E$5:$E$238,"No")</f>
        <v>25</v>
      </c>
      <c r="F15" s="24"/>
      <c r="G15" s="24"/>
      <c r="H15" s="24"/>
      <c r="I15" s="24"/>
      <c r="J15" s="24"/>
      <c r="K15" s="23"/>
    </row>
    <row r="16" spans="1:11">
      <c r="A16" s="24" t="s">
        <v>399</v>
      </c>
      <c r="B16" s="24">
        <f>COUNTIF(Bolts!$J$5:$J$238,"Baja")</f>
        <v>1</v>
      </c>
      <c r="C16" s="24"/>
      <c r="D16" s="24" t="s">
        <v>1081</v>
      </c>
      <c r="E16" s="24">
        <f>COUNTIF(Bolts!$G$5:$G$238,"Sí")</f>
        <v>160</v>
      </c>
      <c r="F16" s="24"/>
      <c r="G16" s="24"/>
      <c r="H16" s="24"/>
      <c r="I16" s="24"/>
      <c r="J16" s="24"/>
      <c r="K16" s="23"/>
    </row>
    <row r="17" spans="1:11">
      <c r="A17" s="24"/>
      <c r="B17" s="24"/>
      <c r="C17" s="24"/>
      <c r="D17" s="24" t="s">
        <v>1082</v>
      </c>
      <c r="E17" s="24">
        <f>COUNTIF(Bolts!$G$5:$G$238,"No")</f>
        <v>72</v>
      </c>
      <c r="F17" s="24"/>
      <c r="G17" s="24"/>
      <c r="H17" s="24"/>
      <c r="I17" s="24"/>
      <c r="J17" s="24"/>
      <c r="K17" s="23"/>
    </row>
    <row r="18" spans="1:1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3"/>
    </row>
    <row r="19" spans="1:1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3"/>
    </row>
    <row r="20" spans="1:11">
      <c r="A20" s="26" t="s">
        <v>3</v>
      </c>
      <c r="B20" s="26" t="s">
        <v>1083</v>
      </c>
      <c r="C20" s="26" t="s">
        <v>1066</v>
      </c>
      <c r="D20" s="26" t="s">
        <v>1084</v>
      </c>
      <c r="E20" s="26" t="s">
        <v>1085</v>
      </c>
      <c r="F20" s="24"/>
      <c r="G20" s="26" t="s">
        <v>13</v>
      </c>
      <c r="H20" s="26" t="s">
        <v>1083</v>
      </c>
      <c r="I20" s="26" t="s">
        <v>1066</v>
      </c>
      <c r="J20" s="26" t="s">
        <v>1085</v>
      </c>
      <c r="K20" s="23"/>
    </row>
    <row r="21" spans="1:11" ht="25.5">
      <c r="A21" s="24" t="s">
        <v>19</v>
      </c>
      <c r="B21" s="24">
        <f>COUNTIF(Bolts!$A$5:$A$238,A21)</f>
        <v>8</v>
      </c>
      <c r="C21" s="24">
        <f>COUNTIFS(Bolts!$A$5:$A$238,A21,Bolts!$I$5:$I$238,"Completado")</f>
        <v>7</v>
      </c>
      <c r="D21" s="24">
        <f>COUNTIFS(Bolts!$A$5:$A$238,A21,Bolts!$I$5:$I$238,"Pendiente")+COUNTIFS(Bolts!$A$5:$A$238,A21,Bolts!$I$5:$I$238,"Observado")+COUNTIFS(Bolts!$A$5:$A$238,A21,Bolts!$I$5:$I$238,"No implementado")</f>
        <v>0</v>
      </c>
      <c r="E21" s="25">
        <f t="shared" ref="E21:E40" si="0">IFERROR(C21/B21,0)</f>
        <v>0.875</v>
      </c>
      <c r="F21" s="24"/>
      <c r="G21" s="24" t="s">
        <v>54</v>
      </c>
      <c r="H21" s="24">
        <f>COUNTIF(Bolts!$K$5:$K$238,G21)</f>
        <v>45</v>
      </c>
      <c r="I21" s="24">
        <f>COUNTIFS(Bolts!$K$5:$K$238,G21,Bolts!$I$5:$I$238,"Completado")</f>
        <v>23</v>
      </c>
      <c r="J21" s="25">
        <f>IFERROR(I21/H21,0)</f>
        <v>0.51111111111111107</v>
      </c>
      <c r="K21" s="23"/>
    </row>
    <row r="22" spans="1:11" ht="38.25">
      <c r="A22" s="24" t="s">
        <v>79</v>
      </c>
      <c r="B22" s="24">
        <f>COUNTIF(Bolts!$A$5:$A$238,A22)</f>
        <v>11</v>
      </c>
      <c r="C22" s="24">
        <f>COUNTIFS(Bolts!$A$5:$A$238,A22,Bolts!$I$5:$I$238,"Completado")</f>
        <v>10</v>
      </c>
      <c r="D22" s="24">
        <f>COUNTIFS(Bolts!$A$5:$A$238,A22,Bolts!$I$5:$I$238,"Pendiente")+COUNTIFS(Bolts!$A$5:$A$238,A22,Bolts!$I$5:$I$238,"Observado")+COUNTIFS(Bolts!$A$5:$A$238,A22,Bolts!$I$5:$I$238,"No implementado")</f>
        <v>0</v>
      </c>
      <c r="E22" s="25">
        <f t="shared" si="0"/>
        <v>0.90909090909090906</v>
      </c>
      <c r="F22" s="24"/>
      <c r="G22" s="24" t="s">
        <v>48</v>
      </c>
      <c r="H22" s="24">
        <f>COUNTIF(Bolts!$K$5:$K$238,G22)</f>
        <v>130</v>
      </c>
      <c r="I22" s="24">
        <f>COUNTIFS(Bolts!$K$5:$K$238,G22,Bolts!$I$5:$I$238,"Completado")</f>
        <v>104</v>
      </c>
      <c r="J22" s="25">
        <f>IFERROR(I22/H22,0)</f>
        <v>0.8</v>
      </c>
      <c r="K22" s="23"/>
    </row>
    <row r="23" spans="1:11">
      <c r="A23" s="24" t="s">
        <v>136</v>
      </c>
      <c r="B23" s="24">
        <f>COUNTIF(Bolts!$A$5:$A$238,A23)</f>
        <v>10</v>
      </c>
      <c r="C23" s="24">
        <f>COUNTIFS(Bolts!$A$5:$A$238,A23,Bolts!$I$5:$I$238,"Completado")</f>
        <v>8</v>
      </c>
      <c r="D23" s="24">
        <f>COUNTIFS(Bolts!$A$5:$A$238,A23,Bolts!$I$5:$I$238,"Pendiente")+COUNTIFS(Bolts!$A$5:$A$238,A23,Bolts!$I$5:$I$238,"Observado")+COUNTIFS(Bolts!$A$5:$A$238,A23,Bolts!$I$5:$I$238,"No implementado")</f>
        <v>1</v>
      </c>
      <c r="E23" s="25">
        <f t="shared" si="0"/>
        <v>0.8</v>
      </c>
      <c r="F23" s="24"/>
      <c r="G23" s="24" t="s">
        <v>29</v>
      </c>
      <c r="H23" s="24">
        <f>COUNTIF(Bolts!$K$5:$K$238,G23)</f>
        <v>59</v>
      </c>
      <c r="I23" s="24">
        <f>COUNTIFS(Bolts!$K$5:$K$238,G23,Bolts!$I$5:$I$238,"Completado")</f>
        <v>33</v>
      </c>
      <c r="J23" s="25">
        <f>IFERROR(I23/H23,0)</f>
        <v>0.55932203389830504</v>
      </c>
      <c r="K23" s="23"/>
    </row>
    <row r="24" spans="1:11">
      <c r="A24" s="24" t="s">
        <v>186</v>
      </c>
      <c r="B24" s="24">
        <f>COUNTIF(Bolts!$A$5:$A$238,A24)</f>
        <v>19</v>
      </c>
      <c r="C24" s="24">
        <f>COUNTIFS(Bolts!$A$5:$A$238,A24,Bolts!$I$5:$I$238,"Completado")</f>
        <v>18</v>
      </c>
      <c r="D24" s="24">
        <f>COUNTIFS(Bolts!$A$5:$A$238,A24,Bolts!$I$5:$I$238,"Pendiente")+COUNTIFS(Bolts!$A$5:$A$238,A24,Bolts!$I$5:$I$238,"Observado")+COUNTIFS(Bolts!$A$5:$A$238,A24,Bolts!$I$5:$I$238,"No implementado")</f>
        <v>0</v>
      </c>
      <c r="E24" s="25">
        <f t="shared" si="0"/>
        <v>0.94736842105263153</v>
      </c>
      <c r="F24" s="24"/>
      <c r="G24" s="24"/>
      <c r="H24" s="24"/>
      <c r="I24" s="24"/>
      <c r="J24" s="24"/>
      <c r="K24" s="23"/>
    </row>
    <row r="25" spans="1:11">
      <c r="A25" s="24" t="s">
        <v>276</v>
      </c>
      <c r="B25" s="24">
        <f>COUNTIF(Bolts!$A$5:$A$238,A25)</f>
        <v>16</v>
      </c>
      <c r="C25" s="24">
        <f>COUNTIFS(Bolts!$A$5:$A$238,A25,Bolts!$I$5:$I$238,"Completado")</f>
        <v>13</v>
      </c>
      <c r="D25" s="24">
        <f>COUNTIFS(Bolts!$A$5:$A$238,A25,Bolts!$I$5:$I$238,"Pendiente")+COUNTIFS(Bolts!$A$5:$A$238,A25,Bolts!$I$5:$I$238,"Observado")+COUNTIFS(Bolts!$A$5:$A$238,A25,Bolts!$I$5:$I$238,"No implementado")</f>
        <v>0</v>
      </c>
      <c r="E25" s="25">
        <f t="shared" si="0"/>
        <v>0.8125</v>
      </c>
      <c r="F25" s="24"/>
      <c r="G25" s="24"/>
      <c r="H25" s="24"/>
      <c r="I25" s="24"/>
      <c r="J25" s="24"/>
      <c r="K25" s="23"/>
    </row>
    <row r="26" spans="1:11">
      <c r="A26" s="24" t="s">
        <v>357</v>
      </c>
      <c r="B26" s="24">
        <f>COUNTIF(Bolts!$A$5:$A$238,A26)</f>
        <v>14</v>
      </c>
      <c r="C26" s="24">
        <f>COUNTIFS(Bolts!$A$5:$A$238,A26,Bolts!$I$5:$I$238,"Completado")</f>
        <v>7</v>
      </c>
      <c r="D26" s="24">
        <f>COUNTIFS(Bolts!$A$5:$A$238,A26,Bolts!$I$5:$I$238,"Pendiente")+COUNTIFS(Bolts!$A$5:$A$238,A26,Bolts!$I$5:$I$238,"Observado")+COUNTIFS(Bolts!$A$5:$A$238,A26,Bolts!$I$5:$I$238,"No implementado")</f>
        <v>4</v>
      </c>
      <c r="E26" s="25">
        <f t="shared" si="0"/>
        <v>0.5</v>
      </c>
      <c r="F26" s="24"/>
      <c r="G26" s="24"/>
      <c r="H26" s="24"/>
      <c r="I26" s="24"/>
      <c r="J26" s="24"/>
      <c r="K26" s="23"/>
    </row>
    <row r="27" spans="1:11">
      <c r="A27" s="24" t="s">
        <v>419</v>
      </c>
      <c r="B27" s="24">
        <f>COUNTIF(Bolts!$A$5:$A$238,A27)</f>
        <v>11</v>
      </c>
      <c r="C27" s="24">
        <f>COUNTIFS(Bolts!$A$5:$A$238,A27,Bolts!$I$5:$I$238,"Completado")</f>
        <v>9</v>
      </c>
      <c r="D27" s="24">
        <f>COUNTIFS(Bolts!$A$5:$A$238,A27,Bolts!$I$5:$I$238,"Pendiente")+COUNTIFS(Bolts!$A$5:$A$238,A27,Bolts!$I$5:$I$238,"Observado")+COUNTIFS(Bolts!$A$5:$A$238,A27,Bolts!$I$5:$I$238,"No implementado")</f>
        <v>0</v>
      </c>
      <c r="E27" s="25">
        <f t="shared" si="0"/>
        <v>0.81818181818181823</v>
      </c>
      <c r="F27" s="24"/>
      <c r="G27" s="24"/>
      <c r="H27" s="24"/>
      <c r="I27" s="24"/>
      <c r="J27" s="24"/>
      <c r="K27" s="23"/>
    </row>
    <row r="28" spans="1:11">
      <c r="A28" s="24" t="s">
        <v>470</v>
      </c>
      <c r="B28" s="24">
        <f>COUNTIF(Bolts!$A$5:$A$238,A28)</f>
        <v>9</v>
      </c>
      <c r="C28" s="24">
        <f>COUNTIFS(Bolts!$A$5:$A$238,A28,Bolts!$I$5:$I$238,"Completado")</f>
        <v>7</v>
      </c>
      <c r="D28" s="24">
        <f>COUNTIFS(Bolts!$A$5:$A$238,A28,Bolts!$I$5:$I$238,"Pendiente")+COUNTIFS(Bolts!$A$5:$A$238,A28,Bolts!$I$5:$I$238,"Observado")+COUNTIFS(Bolts!$A$5:$A$238,A28,Bolts!$I$5:$I$238,"No implementado")</f>
        <v>2</v>
      </c>
      <c r="E28" s="25">
        <f t="shared" si="0"/>
        <v>0.77777777777777779</v>
      </c>
      <c r="F28" s="24"/>
      <c r="G28" s="24"/>
      <c r="H28" s="24"/>
      <c r="I28" s="24"/>
      <c r="J28" s="24"/>
      <c r="K28" s="23"/>
    </row>
    <row r="29" spans="1:11">
      <c r="A29" s="24" t="s">
        <v>509</v>
      </c>
      <c r="B29" s="24">
        <f>COUNTIF(Bolts!$A$5:$A$238,A29)</f>
        <v>8</v>
      </c>
      <c r="C29" s="24">
        <f>COUNTIFS(Bolts!$A$5:$A$238,A29,Bolts!$I$5:$I$238,"Completado")</f>
        <v>5</v>
      </c>
      <c r="D29" s="24">
        <f>COUNTIFS(Bolts!$A$5:$A$238,A29,Bolts!$I$5:$I$238,"Pendiente")+COUNTIFS(Bolts!$A$5:$A$238,A29,Bolts!$I$5:$I$238,"Observado")+COUNTIFS(Bolts!$A$5:$A$238,A29,Bolts!$I$5:$I$238,"No implementado")</f>
        <v>1</v>
      </c>
      <c r="E29" s="25">
        <f t="shared" si="0"/>
        <v>0.625</v>
      </c>
      <c r="F29" s="24"/>
      <c r="G29" s="24"/>
      <c r="H29" s="24"/>
      <c r="I29" s="24"/>
      <c r="J29" s="24"/>
      <c r="K29" s="23"/>
    </row>
    <row r="30" spans="1:11" ht="25.5">
      <c r="A30" s="24" t="s">
        <v>546</v>
      </c>
      <c r="B30" s="24">
        <f>COUNTIF(Bolts!$A$5:$A$238,A30)</f>
        <v>9</v>
      </c>
      <c r="C30" s="24">
        <f>COUNTIFS(Bolts!$A$5:$A$238,A30,Bolts!$I$5:$I$238,"Completado")</f>
        <v>3</v>
      </c>
      <c r="D30" s="24">
        <f>COUNTIFS(Bolts!$A$5:$A$238,A30,Bolts!$I$5:$I$238,"Pendiente")+COUNTIFS(Bolts!$A$5:$A$238,A30,Bolts!$I$5:$I$238,"Observado")+COUNTIFS(Bolts!$A$5:$A$238,A30,Bolts!$I$5:$I$238,"No implementado")</f>
        <v>2</v>
      </c>
      <c r="E30" s="25">
        <f t="shared" si="0"/>
        <v>0.33333333333333331</v>
      </c>
      <c r="F30" s="24"/>
      <c r="G30" s="24"/>
      <c r="H30" s="24"/>
      <c r="I30" s="24"/>
      <c r="J30" s="24"/>
      <c r="K30" s="23"/>
    </row>
    <row r="31" spans="1:11">
      <c r="A31" s="24" t="s">
        <v>583</v>
      </c>
      <c r="B31" s="24">
        <f>COUNTIF(Bolts!$A$5:$A$238,A31)</f>
        <v>15</v>
      </c>
      <c r="C31" s="24">
        <f>COUNTIFS(Bolts!$A$5:$A$238,A31,Bolts!$I$5:$I$238,"Completado")</f>
        <v>15</v>
      </c>
      <c r="D31" s="24">
        <f>COUNTIFS(Bolts!$A$5:$A$238,A31,Bolts!$I$5:$I$238,"Pendiente")+COUNTIFS(Bolts!$A$5:$A$238,A31,Bolts!$I$5:$I$238,"Observado")+COUNTIFS(Bolts!$A$5:$A$238,A31,Bolts!$I$5:$I$238,"No implementado")</f>
        <v>0</v>
      </c>
      <c r="E31" s="25">
        <f t="shared" si="0"/>
        <v>1</v>
      </c>
      <c r="F31" s="24"/>
      <c r="G31" s="24"/>
      <c r="H31" s="24"/>
      <c r="I31" s="24"/>
      <c r="J31" s="24"/>
      <c r="K31" s="23"/>
    </row>
    <row r="32" spans="1:11">
      <c r="A32" s="24" t="s">
        <v>641</v>
      </c>
      <c r="B32" s="24">
        <f>COUNTIF(Bolts!$A$5:$A$238,A32)</f>
        <v>10</v>
      </c>
      <c r="C32" s="24">
        <f>COUNTIFS(Bolts!$A$5:$A$238,A32,Bolts!$I$5:$I$238,"Completado")</f>
        <v>8</v>
      </c>
      <c r="D32" s="24">
        <f>COUNTIFS(Bolts!$A$5:$A$238,A32,Bolts!$I$5:$I$238,"Pendiente")+COUNTIFS(Bolts!$A$5:$A$238,A32,Bolts!$I$5:$I$238,"Observado")+COUNTIFS(Bolts!$A$5:$A$238,A32,Bolts!$I$5:$I$238,"No implementado")</f>
        <v>1</v>
      </c>
      <c r="E32" s="25">
        <f t="shared" si="0"/>
        <v>0.8</v>
      </c>
      <c r="F32" s="24"/>
      <c r="G32" s="24"/>
      <c r="H32" s="24"/>
      <c r="I32" s="24"/>
      <c r="J32" s="24"/>
      <c r="K32" s="23"/>
    </row>
    <row r="33" spans="1:11">
      <c r="A33" s="24" t="s">
        <v>685</v>
      </c>
      <c r="B33" s="24">
        <f>COUNTIF(Bolts!$A$5:$A$238,A33)</f>
        <v>10</v>
      </c>
      <c r="C33" s="24">
        <f>COUNTIFS(Bolts!$A$5:$A$238,A33,Bolts!$I$5:$I$238,"Completado")</f>
        <v>8</v>
      </c>
      <c r="D33" s="24">
        <f>COUNTIFS(Bolts!$A$5:$A$238,A33,Bolts!$I$5:$I$238,"Pendiente")+COUNTIFS(Bolts!$A$5:$A$238,A33,Bolts!$I$5:$I$238,"Observado")+COUNTIFS(Bolts!$A$5:$A$238,A33,Bolts!$I$5:$I$238,"No implementado")</f>
        <v>1</v>
      </c>
      <c r="E33" s="25">
        <f t="shared" si="0"/>
        <v>0.8</v>
      </c>
      <c r="F33" s="24"/>
      <c r="G33" s="24"/>
      <c r="H33" s="24"/>
      <c r="I33" s="24"/>
      <c r="J33" s="24"/>
      <c r="K33" s="23"/>
    </row>
    <row r="34" spans="1:11">
      <c r="A34" s="24" t="s">
        <v>726</v>
      </c>
      <c r="B34" s="24">
        <f>COUNTIF(Bolts!$A$5:$A$238,A34)</f>
        <v>10</v>
      </c>
      <c r="C34" s="24">
        <f>COUNTIFS(Bolts!$A$5:$A$238,A34,Bolts!$I$5:$I$238,"Completado")</f>
        <v>7</v>
      </c>
      <c r="D34" s="24">
        <f>COUNTIFS(Bolts!$A$5:$A$238,A34,Bolts!$I$5:$I$238,"Pendiente")+COUNTIFS(Bolts!$A$5:$A$238,A34,Bolts!$I$5:$I$238,"Observado")+COUNTIFS(Bolts!$A$5:$A$238,A34,Bolts!$I$5:$I$238,"No implementado")</f>
        <v>0</v>
      </c>
      <c r="E34" s="25">
        <f t="shared" si="0"/>
        <v>0.7</v>
      </c>
      <c r="F34" s="24"/>
      <c r="G34" s="24"/>
      <c r="H34" s="24"/>
      <c r="I34" s="24"/>
      <c r="J34" s="24"/>
      <c r="K34" s="23"/>
    </row>
    <row r="35" spans="1:11">
      <c r="A35" s="24" t="s">
        <v>768</v>
      </c>
      <c r="B35" s="24">
        <f>COUNTIF(Bolts!$A$5:$A$238,A35)</f>
        <v>14</v>
      </c>
      <c r="C35" s="24">
        <f>COUNTIFS(Bolts!$A$5:$A$238,A35,Bolts!$I$5:$I$238,"Completado")</f>
        <v>10</v>
      </c>
      <c r="D35" s="24">
        <f>COUNTIFS(Bolts!$A$5:$A$238,A35,Bolts!$I$5:$I$238,"Pendiente")+COUNTIFS(Bolts!$A$5:$A$238,A35,Bolts!$I$5:$I$238,"Observado")+COUNTIFS(Bolts!$A$5:$A$238,A35,Bolts!$I$5:$I$238,"No implementado")</f>
        <v>3</v>
      </c>
      <c r="E35" s="25">
        <f t="shared" si="0"/>
        <v>0.7142857142857143</v>
      </c>
      <c r="F35" s="24"/>
      <c r="G35" s="24"/>
      <c r="H35" s="24"/>
      <c r="I35" s="24"/>
      <c r="J35" s="24"/>
      <c r="K35" s="23"/>
    </row>
    <row r="36" spans="1:11">
      <c r="A36" s="24" t="s">
        <v>825</v>
      </c>
      <c r="B36" s="24">
        <f>COUNTIF(Bolts!$A$5:$A$238,A36)</f>
        <v>10</v>
      </c>
      <c r="C36" s="24">
        <f>COUNTIFS(Bolts!$A$5:$A$238,A36,Bolts!$I$5:$I$238,"Completado")</f>
        <v>5</v>
      </c>
      <c r="D36" s="24">
        <f>COUNTIFS(Bolts!$A$5:$A$238,A36,Bolts!$I$5:$I$238,"Pendiente")+COUNTIFS(Bolts!$A$5:$A$238,A36,Bolts!$I$5:$I$238,"Observado")+COUNTIFS(Bolts!$A$5:$A$238,A36,Bolts!$I$5:$I$238,"No implementado")</f>
        <v>2</v>
      </c>
      <c r="E36" s="25">
        <f t="shared" si="0"/>
        <v>0.5</v>
      </c>
      <c r="F36" s="24"/>
      <c r="G36" s="24"/>
      <c r="H36" s="24"/>
      <c r="I36" s="24"/>
      <c r="J36" s="24"/>
      <c r="K36" s="23"/>
    </row>
    <row r="37" spans="1:11">
      <c r="A37" s="24" t="s">
        <v>861</v>
      </c>
      <c r="B37" s="24">
        <f>COUNTIF(Bolts!$A$5:$A$238,A37)</f>
        <v>10</v>
      </c>
      <c r="C37" s="24">
        <f>COUNTIFS(Bolts!$A$5:$A$238,A37,Bolts!$I$5:$I$238,"Completado")</f>
        <v>3</v>
      </c>
      <c r="D37" s="24">
        <f>COUNTIFS(Bolts!$A$5:$A$238,A37,Bolts!$I$5:$I$238,"Pendiente")+COUNTIFS(Bolts!$A$5:$A$238,A37,Bolts!$I$5:$I$238,"Observado")+COUNTIFS(Bolts!$A$5:$A$238,A37,Bolts!$I$5:$I$238,"No implementado")</f>
        <v>2</v>
      </c>
      <c r="E37" s="25">
        <f t="shared" si="0"/>
        <v>0.3</v>
      </c>
      <c r="F37" s="24"/>
      <c r="G37" s="24"/>
      <c r="H37" s="24"/>
      <c r="I37" s="24"/>
      <c r="J37" s="24"/>
      <c r="K37" s="23"/>
    </row>
    <row r="38" spans="1:11">
      <c r="A38" s="24" t="s">
        <v>903</v>
      </c>
      <c r="B38" s="24">
        <f>COUNTIF(Bolts!$A$5:$A$238,A38)</f>
        <v>12</v>
      </c>
      <c r="C38" s="24">
        <f>COUNTIFS(Bolts!$A$5:$A$238,A38,Bolts!$I$5:$I$238,"Completado")</f>
        <v>10</v>
      </c>
      <c r="D38" s="24">
        <f>COUNTIFS(Bolts!$A$5:$A$238,A38,Bolts!$I$5:$I$238,"Pendiente")+COUNTIFS(Bolts!$A$5:$A$238,A38,Bolts!$I$5:$I$238,"Observado")+COUNTIFS(Bolts!$A$5:$A$238,A38,Bolts!$I$5:$I$238,"No implementado")</f>
        <v>1</v>
      </c>
      <c r="E38" s="25">
        <f t="shared" si="0"/>
        <v>0.83333333333333337</v>
      </c>
      <c r="F38" s="24"/>
      <c r="G38" s="24"/>
      <c r="H38" s="24"/>
      <c r="I38" s="24"/>
      <c r="J38" s="24"/>
      <c r="K38" s="23"/>
    </row>
    <row r="39" spans="1:11" ht="25.5">
      <c r="A39" s="24" t="s">
        <v>949</v>
      </c>
      <c r="B39" s="24">
        <f>COUNTIF(Bolts!$A$5:$A$238,A39)</f>
        <v>16</v>
      </c>
      <c r="C39" s="24">
        <f>COUNTIFS(Bolts!$A$5:$A$238,A39,Bolts!$I$5:$I$238,"Completado")</f>
        <v>6</v>
      </c>
      <c r="D39" s="24">
        <f>COUNTIFS(Bolts!$A$5:$A$238,A39,Bolts!$I$5:$I$238,"Pendiente")+COUNTIFS(Bolts!$A$5:$A$238,A39,Bolts!$I$5:$I$238,"Observado")+COUNTIFS(Bolts!$A$5:$A$238,A39,Bolts!$I$5:$I$238,"No implementado")</f>
        <v>4</v>
      </c>
      <c r="E39" s="25">
        <f t="shared" si="0"/>
        <v>0.375</v>
      </c>
      <c r="F39" s="24"/>
      <c r="G39" s="24"/>
      <c r="H39" s="24"/>
      <c r="I39" s="24"/>
      <c r="J39" s="24"/>
      <c r="K39" s="23"/>
    </row>
    <row r="40" spans="1:11">
      <c r="A40" s="24" t="s">
        <v>1011</v>
      </c>
      <c r="B40" s="24">
        <f>COUNTIF(Bolts!$A$5:$A$238,A40)</f>
        <v>12</v>
      </c>
      <c r="C40" s="24">
        <f>COUNTIFS(Bolts!$A$5:$A$238,A40,Bolts!$I$5:$I$238,"Completado")</f>
        <v>1</v>
      </c>
      <c r="D40" s="24">
        <f>COUNTIFS(Bolts!$A$5:$A$238,A40,Bolts!$I$5:$I$238,"Pendiente")+COUNTIFS(Bolts!$A$5:$A$238,A40,Bolts!$I$5:$I$238,"Observado")+COUNTIFS(Bolts!$A$5:$A$238,A40,Bolts!$I$5:$I$238,"No implementado")</f>
        <v>3</v>
      </c>
      <c r="E40" s="25">
        <f t="shared" si="0"/>
        <v>8.3333333333333329E-2</v>
      </c>
      <c r="F40" s="24"/>
      <c r="G40" s="24"/>
      <c r="H40" s="24"/>
      <c r="I40" s="24"/>
      <c r="J40" s="24"/>
      <c r="K40" s="23"/>
    </row>
    <row r="41" spans="1:1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3"/>
    </row>
    <row r="42" spans="1:1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3"/>
    </row>
    <row r="43" spans="1:1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3"/>
    </row>
    <row r="44" spans="1:1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3"/>
    </row>
    <row r="45" spans="1:1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3"/>
    </row>
    <row r="46" spans="1:1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spans="1:1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1:1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spans="1:1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spans="1:1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spans="1:1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spans="1:1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spans="1:1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spans="1:1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spans="1:1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spans="1:1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spans="1:1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1:1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spans="1:1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1:1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1:1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spans="1:1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spans="1:1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spans="1:1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spans="1:1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spans="1:1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spans="1:1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spans="1:1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spans="1:1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spans="1:1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spans="1:1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spans="1:1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spans="1:1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spans="1:1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spans="1:1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spans="1:1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spans="1:1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spans="1:1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spans="1:1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spans="1:1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spans="1:1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spans="1:1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spans="1:1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spans="1:1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spans="1:1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spans="1:1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spans="1:1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spans="1:1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1:1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spans="1:1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spans="1:1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spans="1:1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spans="1:1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spans="1: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spans="1:1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spans="1:1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spans="1:1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spans="1:1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1:1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spans="1:1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spans="1:1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spans="1:1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spans="1:1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spans="1:1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1:1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spans="1:1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spans="1:1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spans="1:1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spans="1:1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spans="1:1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spans="1:1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spans="1:1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spans="1:1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spans="1:1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spans="1:1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spans="1:1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spans="1:1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spans="1:1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spans="1:1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spans="1:1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spans="1:1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spans="1:1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spans="1:1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spans="1:1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spans="1:1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spans="1:1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spans="1:1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spans="1:1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spans="1:1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spans="1:1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spans="1:1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spans="1:1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spans="1:1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spans="1:1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spans="1:1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spans="1:1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spans="1:1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spans="1:1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spans="1:1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spans="1:1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spans="1:1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spans="1:1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spans="1:1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pans="1:1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spans="1:1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spans="1:1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spans="1:1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spans="1:1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spans="1:1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spans="1:1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spans="1:1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spans="1:1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spans="1:1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spans="1:1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spans="1:1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spans="1:1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spans="1:1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spans="1:1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spans="1:1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spans="1:1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spans="1:1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spans="1:1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spans="1:1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spans="1:1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spans="1:1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spans="1:1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spans="1:1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spans="1:1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spans="1:1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spans="1:1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</row>
    <row r="188" spans="1:1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</row>
    <row r="189" spans="1:1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</row>
    <row r="190" spans="1:1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</row>
    <row r="191" spans="1:1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</row>
    <row r="192" spans="1:1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</row>
    <row r="193" spans="1:1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</row>
    <row r="194" spans="1:1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</row>
    <row r="195" spans="1:1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</row>
    <row r="196" spans="1:1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</row>
    <row r="197" spans="1:1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</row>
    <row r="198" spans="1:1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</row>
    <row r="199" spans="1:1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</row>
    <row r="200" spans="1:1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</row>
  </sheetData>
  <mergeCells count="2">
    <mergeCell ref="A1:H1"/>
    <mergeCell ref="A2:H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0"/>
  <sheetViews>
    <sheetView workbookViewId="0">
      <selection sqref="A1:E1"/>
    </sheetView>
  </sheetViews>
  <sheetFormatPr baseColWidth="10" defaultColWidth="9" defaultRowHeight="14.25"/>
  <cols>
    <col min="1" max="1" width="22" customWidth="1"/>
    <col min="2" max="2" width="32" customWidth="1"/>
    <col min="3" max="4" width="18" customWidth="1"/>
    <col min="5" max="5" width="70" customWidth="1"/>
  </cols>
  <sheetData>
    <row r="1" spans="1:11" ht="18.75">
      <c r="A1" s="32" t="s">
        <v>1086</v>
      </c>
      <c r="B1" s="32"/>
      <c r="C1" s="32"/>
      <c r="D1" s="32"/>
      <c r="E1" s="32"/>
      <c r="F1" s="23"/>
      <c r="G1" s="23"/>
      <c r="H1" s="23"/>
      <c r="I1" s="23"/>
      <c r="J1" s="23"/>
      <c r="K1" s="23"/>
    </row>
    <row r="2" spans="1:11">
      <c r="A2" s="33" t="s">
        <v>1087</v>
      </c>
      <c r="B2" s="33"/>
      <c r="C2" s="33"/>
      <c r="D2" s="33"/>
      <c r="E2" s="33"/>
      <c r="F2" s="23"/>
      <c r="G2" s="23"/>
      <c r="H2" s="23"/>
      <c r="I2" s="23"/>
      <c r="J2" s="23"/>
      <c r="K2" s="23"/>
    </row>
    <row r="3" spans="1:11">
      <c r="A3" s="24"/>
      <c r="B3" s="24"/>
      <c r="C3" s="24"/>
      <c r="D3" s="24"/>
      <c r="E3" s="24"/>
      <c r="F3" s="23"/>
      <c r="G3" s="23"/>
      <c r="H3" s="23"/>
      <c r="I3" s="23"/>
      <c r="J3" s="23"/>
      <c r="K3" s="23"/>
    </row>
    <row r="4" spans="1:11">
      <c r="A4" s="27" t="s">
        <v>4</v>
      </c>
      <c r="B4" s="27" t="s">
        <v>3</v>
      </c>
      <c r="C4" s="27" t="s">
        <v>1088</v>
      </c>
      <c r="D4" s="27" t="s">
        <v>1089</v>
      </c>
      <c r="E4" s="27" t="s">
        <v>1090</v>
      </c>
      <c r="F4" s="23"/>
      <c r="G4" s="23"/>
      <c r="H4" s="23"/>
      <c r="I4" s="23"/>
      <c r="J4" s="23"/>
      <c r="K4" s="23"/>
    </row>
    <row r="5" spans="1:11" ht="25.5">
      <c r="A5" s="24" t="s">
        <v>56</v>
      </c>
      <c r="B5" s="24" t="s">
        <v>19</v>
      </c>
      <c r="C5" s="24" t="s">
        <v>380</v>
      </c>
      <c r="D5" s="24" t="s">
        <v>27</v>
      </c>
      <c r="E5" s="24" t="s">
        <v>62</v>
      </c>
      <c r="F5" s="23"/>
      <c r="G5" s="23"/>
      <c r="H5" s="23"/>
      <c r="I5" s="23"/>
      <c r="J5" s="23"/>
      <c r="K5" s="23"/>
    </row>
    <row r="6" spans="1:11" ht="25.5">
      <c r="A6" s="24" t="s">
        <v>108</v>
      </c>
      <c r="B6" s="24" t="s">
        <v>79</v>
      </c>
      <c r="C6" s="24" t="s">
        <v>380</v>
      </c>
      <c r="D6" s="24" t="s">
        <v>27</v>
      </c>
      <c r="E6" s="24" t="s">
        <v>112</v>
      </c>
      <c r="F6" s="23"/>
      <c r="G6" s="23"/>
      <c r="H6" s="23"/>
      <c r="I6" s="23"/>
      <c r="J6" s="23"/>
      <c r="K6" s="23"/>
    </row>
    <row r="7" spans="1:11" ht="25.5">
      <c r="A7" s="24" t="s">
        <v>341</v>
      </c>
      <c r="B7" s="24" t="s">
        <v>276</v>
      </c>
      <c r="C7" s="24" t="s">
        <v>380</v>
      </c>
      <c r="D7" s="24" t="s">
        <v>27</v>
      </c>
      <c r="E7" s="24" t="s">
        <v>345</v>
      </c>
      <c r="F7" s="23"/>
      <c r="G7" s="23"/>
      <c r="H7" s="23"/>
      <c r="I7" s="23"/>
      <c r="J7" s="23"/>
      <c r="K7" s="23"/>
    </row>
    <row r="8" spans="1:11" ht="25.5">
      <c r="A8" s="24" t="s">
        <v>376</v>
      </c>
      <c r="B8" s="24" t="s">
        <v>357</v>
      </c>
      <c r="C8" s="24" t="s">
        <v>380</v>
      </c>
      <c r="D8" s="24" t="s">
        <v>1091</v>
      </c>
      <c r="E8" s="24" t="s">
        <v>381</v>
      </c>
      <c r="F8" s="23"/>
      <c r="G8" s="23"/>
      <c r="H8" s="23"/>
      <c r="I8" s="23"/>
      <c r="J8" s="23"/>
      <c r="K8" s="23"/>
    </row>
    <row r="9" spans="1:11" ht="25.5">
      <c r="A9" s="24" t="s">
        <v>405</v>
      </c>
      <c r="B9" s="24" t="s">
        <v>357</v>
      </c>
      <c r="C9" s="24" t="s">
        <v>72</v>
      </c>
      <c r="D9" s="24" t="s">
        <v>27</v>
      </c>
      <c r="E9" s="24" t="s">
        <v>409</v>
      </c>
      <c r="F9" s="23"/>
      <c r="G9" s="23"/>
      <c r="H9" s="23"/>
      <c r="I9" s="23"/>
      <c r="J9" s="23"/>
      <c r="K9" s="23"/>
    </row>
    <row r="10" spans="1:11" ht="25.5">
      <c r="A10" s="24" t="s">
        <v>410</v>
      </c>
      <c r="B10" s="24" t="s">
        <v>357</v>
      </c>
      <c r="C10" s="24" t="s">
        <v>72</v>
      </c>
      <c r="D10" s="24" t="s">
        <v>27</v>
      </c>
      <c r="E10" s="24" t="s">
        <v>412</v>
      </c>
      <c r="F10" s="23"/>
      <c r="G10" s="23"/>
      <c r="H10" s="23"/>
      <c r="I10" s="23"/>
      <c r="J10" s="23"/>
      <c r="K10" s="23"/>
    </row>
    <row r="11" spans="1:11" ht="25.5">
      <c r="A11" s="24" t="s">
        <v>451</v>
      </c>
      <c r="B11" s="24" t="s">
        <v>419</v>
      </c>
      <c r="C11" s="24" t="s">
        <v>72</v>
      </c>
      <c r="D11" s="24" t="s">
        <v>27</v>
      </c>
      <c r="E11" s="24" t="s">
        <v>455</v>
      </c>
      <c r="F11" s="23"/>
      <c r="G11" s="23"/>
      <c r="H11" s="23"/>
      <c r="I11" s="23"/>
      <c r="J11" s="23"/>
      <c r="K11" s="23"/>
    </row>
    <row r="12" spans="1:11">
      <c r="A12" s="24" t="s">
        <v>465</v>
      </c>
      <c r="B12" s="24" t="s">
        <v>419</v>
      </c>
      <c r="C12" s="24" t="s">
        <v>380</v>
      </c>
      <c r="D12" s="24" t="s">
        <v>27</v>
      </c>
      <c r="E12" s="24" t="s">
        <v>469</v>
      </c>
      <c r="F12" s="23"/>
      <c r="G12" s="23"/>
      <c r="H12" s="23"/>
      <c r="I12" s="23"/>
      <c r="J12" s="23"/>
      <c r="K12" s="23"/>
    </row>
    <row r="13" spans="1:11" ht="25.5">
      <c r="A13" s="24" t="s">
        <v>510</v>
      </c>
      <c r="B13" s="24" t="s">
        <v>509</v>
      </c>
      <c r="C13" s="24" t="s">
        <v>380</v>
      </c>
      <c r="D13" s="24" t="s">
        <v>27</v>
      </c>
      <c r="E13" s="24" t="s">
        <v>515</v>
      </c>
      <c r="F13" s="23"/>
      <c r="G13" s="23"/>
      <c r="H13" s="23"/>
      <c r="I13" s="23"/>
      <c r="J13" s="23"/>
      <c r="K13" s="23"/>
    </row>
    <row r="14" spans="1:11">
      <c r="A14" s="24" t="s">
        <v>516</v>
      </c>
      <c r="B14" s="24" t="s">
        <v>509</v>
      </c>
      <c r="C14" s="24" t="s">
        <v>72</v>
      </c>
      <c r="D14" s="24" t="s">
        <v>27</v>
      </c>
      <c r="E14" s="24" t="s">
        <v>520</v>
      </c>
      <c r="F14" s="23"/>
      <c r="G14" s="23"/>
      <c r="H14" s="23"/>
      <c r="I14" s="23"/>
      <c r="J14" s="23"/>
      <c r="K14" s="23"/>
    </row>
    <row r="15" spans="1:11" ht="25.5">
      <c r="A15" s="24" t="s">
        <v>537</v>
      </c>
      <c r="B15" s="24" t="s">
        <v>509</v>
      </c>
      <c r="C15" s="24" t="s">
        <v>72</v>
      </c>
      <c r="D15" s="24" t="s">
        <v>27</v>
      </c>
      <c r="E15" s="24" t="s">
        <v>541</v>
      </c>
      <c r="F15" s="23"/>
      <c r="G15" s="23"/>
      <c r="H15" s="23"/>
      <c r="I15" s="23"/>
      <c r="J15" s="23"/>
      <c r="K15" s="23"/>
    </row>
    <row r="16" spans="1:11" ht="25.5">
      <c r="A16" s="24" t="s">
        <v>542</v>
      </c>
      <c r="B16" s="24" t="s">
        <v>509</v>
      </c>
      <c r="C16" s="24" t="s">
        <v>72</v>
      </c>
      <c r="D16" s="24" t="s">
        <v>27</v>
      </c>
      <c r="E16" s="24" t="s">
        <v>545</v>
      </c>
      <c r="F16" s="23"/>
      <c r="G16" s="23"/>
      <c r="H16" s="23"/>
      <c r="I16" s="23"/>
      <c r="J16" s="23"/>
      <c r="K16" s="23"/>
    </row>
    <row r="17" spans="1:11" ht="25.5">
      <c r="A17" s="24" t="s">
        <v>655</v>
      </c>
      <c r="B17" s="24" t="s">
        <v>641</v>
      </c>
      <c r="C17" s="24" t="s">
        <v>380</v>
      </c>
      <c r="D17" s="24" t="s">
        <v>27</v>
      </c>
      <c r="E17" s="24" t="s">
        <v>658</v>
      </c>
      <c r="F17" s="23"/>
      <c r="G17" s="23"/>
      <c r="H17" s="23"/>
      <c r="I17" s="23"/>
      <c r="J17" s="23"/>
      <c r="K17" s="23"/>
    </row>
    <row r="18" spans="1:11" ht="25.5">
      <c r="A18" s="24" t="s">
        <v>671</v>
      </c>
      <c r="B18" s="24" t="s">
        <v>641</v>
      </c>
      <c r="C18" s="24" t="s">
        <v>72</v>
      </c>
      <c r="D18" s="24" t="s">
        <v>1091</v>
      </c>
      <c r="E18" s="24" t="s">
        <v>675</v>
      </c>
      <c r="F18" s="23"/>
      <c r="G18" s="23"/>
      <c r="H18" s="23"/>
      <c r="I18" s="23"/>
      <c r="J18" s="23"/>
      <c r="K18" s="23"/>
    </row>
    <row r="19" spans="1:11" ht="25.5">
      <c r="A19" s="24" t="s">
        <v>816</v>
      </c>
      <c r="B19" s="24" t="s">
        <v>768</v>
      </c>
      <c r="C19" s="24" t="s">
        <v>380</v>
      </c>
      <c r="D19" s="24" t="s">
        <v>27</v>
      </c>
      <c r="E19" s="24" t="s">
        <v>820</v>
      </c>
      <c r="F19" s="23"/>
      <c r="G19" s="23"/>
      <c r="H19" s="23"/>
      <c r="I19" s="23"/>
      <c r="J19" s="23"/>
      <c r="K19" s="23"/>
    </row>
    <row r="20" spans="1:11" ht="25.5">
      <c r="A20" s="24" t="s">
        <v>887</v>
      </c>
      <c r="B20" s="24" t="s">
        <v>861</v>
      </c>
      <c r="C20" s="24" t="s">
        <v>380</v>
      </c>
      <c r="D20" s="24" t="s">
        <v>27</v>
      </c>
      <c r="E20" s="24" t="s">
        <v>891</v>
      </c>
      <c r="F20" s="23"/>
      <c r="G20" s="23"/>
      <c r="H20" s="23"/>
      <c r="I20" s="23"/>
      <c r="J20" s="23"/>
      <c r="K20" s="23"/>
    </row>
    <row r="21" spans="1:11">
      <c r="A21" s="24"/>
      <c r="B21" s="24"/>
      <c r="C21" s="24"/>
      <c r="D21" s="24"/>
      <c r="E21" s="24"/>
      <c r="F21" s="23"/>
      <c r="G21" s="23"/>
      <c r="H21" s="23"/>
      <c r="I21" s="23"/>
      <c r="J21" s="23"/>
      <c r="K21" s="23"/>
    </row>
    <row r="22" spans="1:11" ht="25.5">
      <c r="A22" s="24" t="s">
        <v>1092</v>
      </c>
      <c r="B22" s="24" t="s">
        <v>1066</v>
      </c>
      <c r="C22" s="24">
        <v>14</v>
      </c>
      <c r="D22" s="24" t="s">
        <v>1093</v>
      </c>
      <c r="E22" s="24">
        <v>2</v>
      </c>
      <c r="F22" s="23"/>
      <c r="G22" s="23"/>
      <c r="H22" s="23"/>
      <c r="I22" s="23"/>
      <c r="J22" s="23"/>
      <c r="K22" s="23"/>
    </row>
    <row r="23" spans="1:1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1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spans="1:1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spans="1:1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spans="1:1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1:1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spans="1:1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spans="1:1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spans="1:1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spans="1:1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spans="1:1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spans="1:1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spans="1:1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1:1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spans="1:1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spans="1:1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spans="1:1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spans="1:1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spans="1:1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spans="1:1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spans="1:1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spans="1:1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spans="1:1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1:1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spans="1:1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1:1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1:1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spans="1:1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spans="1:1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spans="1:1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spans="1:1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spans="1:1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spans="1:1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spans="1:1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spans="1:1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spans="1:1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spans="1:1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spans="1:1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spans="1:1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spans="1:1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spans="1:1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spans="1:1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spans="1:1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spans="1:1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spans="1:1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spans="1:1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spans="1:1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spans="1:1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spans="1:1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spans="1:1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spans="1:1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spans="1:1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spans="1:1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spans="1:1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1:1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spans="1:1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spans="1:1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spans="1:1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spans="1:1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spans="1: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spans="1:1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spans="1:1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spans="1:1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spans="1:1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1:1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spans="1:1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spans="1:1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spans="1:1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spans="1:1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spans="1:1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1:1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spans="1:1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spans="1:1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spans="1:1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spans="1:1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spans="1:1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spans="1:1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spans="1:1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spans="1:1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spans="1:1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spans="1:1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spans="1:1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spans="1:1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spans="1:1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spans="1:1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spans="1:1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spans="1:1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spans="1:1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spans="1:1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spans="1:1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spans="1:1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spans="1:1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spans="1:1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spans="1:1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spans="1:1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spans="1:1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spans="1:1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spans="1:1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spans="1:1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spans="1:1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spans="1:1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spans="1:1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spans="1:1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spans="1:1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spans="1:1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spans="1:1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spans="1:1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spans="1:1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spans="1:1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pans="1:1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spans="1:1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spans="1:1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spans="1:1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spans="1:1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spans="1:1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spans="1:1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spans="1:1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spans="1:1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spans="1:1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spans="1:1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spans="1:1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spans="1:1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spans="1:1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spans="1:1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spans="1:1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spans="1:1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spans="1:1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spans="1:1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spans="1:1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spans="1:1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spans="1:1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spans="1:1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spans="1:1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spans="1:1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spans="1:1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spans="1:1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</row>
    <row r="188" spans="1:1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</row>
    <row r="189" spans="1:1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</row>
    <row r="190" spans="1:1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</row>
    <row r="191" spans="1:1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</row>
    <row r="192" spans="1:1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</row>
    <row r="193" spans="1:1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</row>
    <row r="194" spans="1:1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</row>
    <row r="195" spans="1:1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</row>
    <row r="196" spans="1:1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</row>
    <row r="197" spans="1:1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</row>
    <row r="198" spans="1:1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</row>
    <row r="199" spans="1:1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</row>
    <row r="200" spans="1:1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6"/>
  <sheetViews>
    <sheetView tabSelected="1" workbookViewId="0">
      <selection activeCell="E5" sqref="E5"/>
    </sheetView>
  </sheetViews>
  <sheetFormatPr baseColWidth="10" defaultColWidth="9" defaultRowHeight="14.25"/>
  <cols>
    <col min="1" max="1" width="40" customWidth="1"/>
    <col min="2" max="2" width="22" customWidth="1"/>
    <col min="3" max="3" width="36.375" customWidth="1"/>
    <col min="4" max="4" width="16" customWidth="1"/>
    <col min="5" max="6" width="12" customWidth="1"/>
    <col min="7" max="7" width="35" customWidth="1"/>
    <col min="8" max="8" width="55" customWidth="1"/>
  </cols>
  <sheetData>
    <row r="1" spans="1:11" ht="18.75">
      <c r="A1" s="34" t="s">
        <v>1095</v>
      </c>
      <c r="B1" s="34"/>
      <c r="C1" s="34"/>
      <c r="D1" s="34"/>
      <c r="E1" s="34"/>
      <c r="F1" s="34"/>
      <c r="G1" s="34"/>
      <c r="H1" s="34"/>
      <c r="I1" s="23"/>
      <c r="J1" s="23"/>
      <c r="K1" s="23"/>
    </row>
    <row r="2" spans="1:11">
      <c r="A2" s="31" t="s">
        <v>1096</v>
      </c>
      <c r="B2" s="31"/>
      <c r="C2" s="31"/>
      <c r="D2" s="31"/>
      <c r="E2" s="31"/>
      <c r="F2" s="31"/>
      <c r="G2" s="31"/>
      <c r="H2" s="31"/>
      <c r="I2" s="23"/>
      <c r="J2" s="23"/>
      <c r="K2" s="23"/>
    </row>
    <row r="3" spans="1:1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>
      <c r="A4" s="27" t="s">
        <v>3</v>
      </c>
      <c r="B4" s="27" t="s">
        <v>4</v>
      </c>
      <c r="C4" s="27" t="s">
        <v>1097</v>
      </c>
      <c r="D4" s="27" t="s">
        <v>11</v>
      </c>
      <c r="E4" s="27" t="s">
        <v>12</v>
      </c>
      <c r="F4" s="27" t="s">
        <v>1094</v>
      </c>
      <c r="G4" s="27" t="s">
        <v>13</v>
      </c>
      <c r="H4" s="27" t="s">
        <v>16</v>
      </c>
      <c r="I4" s="23"/>
      <c r="J4" s="23"/>
      <c r="K4" s="23"/>
    </row>
    <row r="5" spans="1:11" ht="38.25">
      <c r="A5" s="24" t="s">
        <v>357</v>
      </c>
      <c r="B5" s="24" t="s">
        <v>376</v>
      </c>
      <c r="C5" s="24" t="s">
        <v>377</v>
      </c>
      <c r="D5" s="24" t="s">
        <v>380</v>
      </c>
      <c r="E5" s="24" t="s">
        <v>68</v>
      </c>
      <c r="F5" s="24" t="s">
        <v>31</v>
      </c>
      <c r="G5" s="24" t="s">
        <v>48</v>
      </c>
      <c r="H5" s="24" t="s">
        <v>381</v>
      </c>
      <c r="I5" s="23"/>
      <c r="J5" s="23"/>
      <c r="K5" s="23"/>
    </row>
    <row r="6" spans="1:11" ht="38.25">
      <c r="A6" s="24" t="s">
        <v>641</v>
      </c>
      <c r="B6" s="24" t="s">
        <v>671</v>
      </c>
      <c r="C6" s="24" t="s">
        <v>672</v>
      </c>
      <c r="D6" s="24" t="s">
        <v>380</v>
      </c>
      <c r="E6" s="24" t="s">
        <v>28</v>
      </c>
      <c r="F6" s="24" t="s">
        <v>69</v>
      </c>
      <c r="G6" s="24" t="s">
        <v>48</v>
      </c>
      <c r="H6" s="24" t="s">
        <v>675</v>
      </c>
      <c r="I6" s="23"/>
      <c r="J6" s="23"/>
      <c r="K6" s="23"/>
    </row>
    <row r="7" spans="1:11" ht="25.5">
      <c r="A7" s="24" t="s">
        <v>861</v>
      </c>
      <c r="B7" s="24" t="s">
        <v>892</v>
      </c>
      <c r="C7" s="24" t="s">
        <v>893</v>
      </c>
      <c r="D7" s="24" t="s">
        <v>72</v>
      </c>
      <c r="E7" s="24" t="s">
        <v>28</v>
      </c>
      <c r="F7" s="24" t="s">
        <v>894</v>
      </c>
      <c r="G7" s="24" t="s">
        <v>29</v>
      </c>
      <c r="H7" s="24" t="s">
        <v>895</v>
      </c>
      <c r="I7" s="23"/>
      <c r="J7" s="23"/>
      <c r="K7" s="23"/>
    </row>
    <row r="8" spans="1:11" ht="25.5">
      <c r="A8" s="24" t="s">
        <v>861</v>
      </c>
      <c r="B8" s="24" t="s">
        <v>900</v>
      </c>
      <c r="C8" s="24" t="s">
        <v>901</v>
      </c>
      <c r="D8" s="24" t="s">
        <v>72</v>
      </c>
      <c r="E8" s="24" t="s">
        <v>28</v>
      </c>
      <c r="F8" s="24" t="s">
        <v>894</v>
      </c>
      <c r="G8" s="24" t="s">
        <v>29</v>
      </c>
      <c r="H8" s="24" t="s">
        <v>902</v>
      </c>
      <c r="I8" s="23"/>
      <c r="J8" s="23"/>
      <c r="K8" s="23"/>
    </row>
    <row r="9" spans="1:11" ht="25.5">
      <c r="A9" s="24" t="s">
        <v>903</v>
      </c>
      <c r="B9" s="24" t="s">
        <v>936</v>
      </c>
      <c r="C9" s="24" t="s">
        <v>937</v>
      </c>
      <c r="D9" s="24" t="s">
        <v>72</v>
      </c>
      <c r="E9" s="24" t="s">
        <v>68</v>
      </c>
      <c r="F9" s="24" t="s">
        <v>894</v>
      </c>
      <c r="G9" s="24" t="s">
        <v>29</v>
      </c>
      <c r="H9" s="24" t="s">
        <v>939</v>
      </c>
      <c r="I9" s="23"/>
      <c r="J9" s="23"/>
      <c r="K9" s="23"/>
    </row>
    <row r="10" spans="1:11" ht="25.5">
      <c r="A10" s="24" t="s">
        <v>949</v>
      </c>
      <c r="B10" s="24" t="s">
        <v>959</v>
      </c>
      <c r="C10" s="24" t="s">
        <v>960</v>
      </c>
      <c r="D10" s="24" t="s">
        <v>72</v>
      </c>
      <c r="E10" s="24" t="s">
        <v>28</v>
      </c>
      <c r="F10" s="24" t="s">
        <v>894</v>
      </c>
      <c r="G10" s="24" t="s">
        <v>29</v>
      </c>
      <c r="H10" s="24" t="s">
        <v>961</v>
      </c>
      <c r="I10" s="23"/>
      <c r="J10" s="23"/>
      <c r="K10" s="23"/>
    </row>
    <row r="11" spans="1:11" ht="25.5">
      <c r="A11" s="24" t="s">
        <v>949</v>
      </c>
      <c r="B11" s="24" t="s">
        <v>966</v>
      </c>
      <c r="C11" s="24" t="s">
        <v>967</v>
      </c>
      <c r="D11" s="24" t="s">
        <v>72</v>
      </c>
      <c r="E11" s="24" t="s">
        <v>28</v>
      </c>
      <c r="F11" s="24" t="s">
        <v>894</v>
      </c>
      <c r="G11" s="24" t="s">
        <v>29</v>
      </c>
      <c r="H11" s="24" t="s">
        <v>961</v>
      </c>
      <c r="I11" s="23"/>
      <c r="J11" s="23"/>
      <c r="K11" s="23"/>
    </row>
    <row r="12" spans="1:11" ht="25.5">
      <c r="A12" s="24" t="s">
        <v>949</v>
      </c>
      <c r="B12" s="24" t="s">
        <v>972</v>
      </c>
      <c r="C12" s="24" t="s">
        <v>973</v>
      </c>
      <c r="D12" s="24" t="s">
        <v>72</v>
      </c>
      <c r="E12" s="24" t="s">
        <v>28</v>
      </c>
      <c r="F12" s="24" t="s">
        <v>894</v>
      </c>
      <c r="G12" s="24" t="s">
        <v>29</v>
      </c>
      <c r="H12" s="24" t="s">
        <v>974</v>
      </c>
      <c r="I12" s="23"/>
      <c r="J12" s="23"/>
      <c r="K12" s="23"/>
    </row>
    <row r="13" spans="1:11">
      <c r="A13" s="24" t="s">
        <v>1011</v>
      </c>
      <c r="B13" s="24" t="s">
        <v>1055</v>
      </c>
      <c r="C13" s="24" t="s">
        <v>1056</v>
      </c>
      <c r="D13" s="24" t="s">
        <v>72</v>
      </c>
      <c r="E13" s="24" t="s">
        <v>28</v>
      </c>
      <c r="F13" s="24" t="s">
        <v>69</v>
      </c>
      <c r="G13" s="24" t="s">
        <v>29</v>
      </c>
      <c r="H13" s="24" t="s">
        <v>1057</v>
      </c>
      <c r="I13" s="23"/>
      <c r="J13" s="23"/>
      <c r="K13" s="23"/>
    </row>
    <row r="14" spans="1:1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 spans="1:1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1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 spans="1:1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spans="1:1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1:1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</row>
    <row r="20" spans="1:1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</row>
    <row r="21" spans="1:1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</row>
    <row r="22" spans="1:1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</row>
    <row r="23" spans="1:1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1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spans="1:1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spans="1:1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spans="1:1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1:1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spans="1:1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spans="1:1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spans="1:1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spans="1:1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spans="1:1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spans="1:1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spans="1:1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1:1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spans="1:1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spans="1:1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spans="1:1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spans="1:1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spans="1:1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spans="1:1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spans="1:1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spans="1:1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spans="1:1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1:1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spans="1:1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1:1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1:1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spans="1:1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spans="1:1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spans="1:1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spans="1:1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spans="1:1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spans="1:1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spans="1:1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spans="1:1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spans="1:1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spans="1:1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spans="1:1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spans="1:1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spans="1:1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spans="1:1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spans="1:1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spans="1:1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spans="1:1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spans="1:1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spans="1:1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spans="1:1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spans="1:1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spans="1:1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spans="1:1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spans="1:1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spans="1:1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spans="1:1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spans="1:1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1:1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spans="1:1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spans="1:1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spans="1:1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spans="1:1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spans="1: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spans="1:1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spans="1:1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spans="1:1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spans="1:1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1:1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spans="1:1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spans="1:1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spans="1:1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spans="1:1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spans="1:1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1:1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spans="1:1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spans="1:1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spans="1:1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spans="1:1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spans="1:1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spans="1:1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spans="1:1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spans="1:1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spans="1:1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spans="1:1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spans="1:1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spans="1:1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spans="1:1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spans="1:1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spans="1:1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spans="1:1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spans="1:1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spans="1:1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spans="1:1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spans="1:1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spans="1:1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spans="1:1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spans="1:1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spans="1:1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spans="1:1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spans="1:1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spans="1:1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spans="1:1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spans="1:1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spans="1:1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spans="1:1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spans="1:1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spans="1:1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spans="1:1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spans="1:1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spans="1:1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spans="1:1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spans="1:1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pans="1:1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spans="1:1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spans="1:1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spans="1:1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spans="1:1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spans="1:1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spans="1:1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spans="1:1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spans="1:1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spans="1:1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spans="1:1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spans="1:1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spans="1:1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spans="1:1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spans="1:1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spans="1:1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spans="1:1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spans="1:1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spans="1:1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spans="1:1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spans="1:1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spans="1:1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spans="1:1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spans="1:1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spans="1:1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spans="1:1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Bolts</vt:lpstr>
      <vt:lpstr>Resumen</vt:lpstr>
      <vt:lpstr>Correcciones QA</vt:lpstr>
      <vt:lpstr>Pendientes críticos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Marcial</dc:creator>
  <cp:lastModifiedBy>ERNESTO MARCIAL CONSTANTINO</cp:lastModifiedBy>
  <dcterms:created xsi:type="dcterms:W3CDTF">2026-06-24T20:12:39Z</dcterms:created>
  <dcterms:modified xsi:type="dcterms:W3CDTF">2026-06-24T20:18:45Z</dcterms:modified>
</cp:coreProperties>
</file>