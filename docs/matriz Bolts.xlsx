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8a8b510ea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lts" sheetId="1" r:id="Ra974f6a8a4fa46e5"/>
    <x:sheet xmlns:r="http://schemas.openxmlformats.org/officeDocument/2006/relationships" name="Resumen" sheetId="2" r:id="R5a121079467f449b"/>
    <x:sheet xmlns:r="http://schemas.openxmlformats.org/officeDocument/2006/relationships" name="Correcciones QA" sheetId="3" r:id="R9f0d48205d9a4c4e"/>
    <x:sheet xmlns:r="http://schemas.openxmlformats.org/officeDocument/2006/relationships" name="Listas" sheetId="4" r:id="R663cf728b44e44f5"/>
    <x:sheet xmlns:r="http://schemas.openxmlformats.org/officeDocument/2006/relationships" name="Pendientes críticos" sheetId="5" r:id="R3156d3f7f3f043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%"/>
  </x:numFmts>
  <x:fonts count="11">
    <x:font>
      <x:sz val="11"/>
      <x:name val="Carlito"/>
    </x:font>
    <x:font>
      <x:b/>
      <x:sz val="14"/>
      <x:color rgb="FFFFFFFF"/>
      <x:name val="Carlito"/>
    </x:font>
    <x:font>
      <x:sz val="10"/>
      <x:color rgb="FF111827"/>
      <x:name val="Carlito"/>
    </x:font>
    <x:font>
      <x:b/>
      <x:sz val="10"/>
      <x:color rgb="FFFFFFFF"/>
      <x:name val="Carlito"/>
    </x:font>
    <x:font>
      <x:sz val="9"/>
      <x:color rgb="FF111827"/>
      <x:name val="Carlito"/>
    </x:font>
    <x:font>
      <x:b/>
      <x:sz val="9"/>
      <x:color rgb="FF111827"/>
      <x:name val="Carlito"/>
    </x:font>
    <x:font>
      <x:b/>
      <x:sz val="10"/>
      <x:color rgb="FF111827"/>
      <x:name val="Calibri"/>
    </x:font>
    <x:font>
      <x:sz val="10"/>
      <x:color rgb="FF111827"/>
      <x:name val="Calibri"/>
    </x:font>
    <x:font>
      <x:sz val="10"/>
      <x:color rgb="FF111827"/>
      <x:name val="Calibri"/>
    </x:font>
    <x:font>
      <x:b/>
      <x:sz val="14"/>
      <x:color rgb="FFFFFFFF"/>
      <x:name val="Calibri"/>
    </x:font>
    <x:font>
      <x:b/>
      <x:sz val="10"/>
      <x:color rgb="FFFFFFFF"/>
      <x:name val="Calibri"/>
    </x:font>
  </x:fonts>
  <x:fills count="2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374151"/>
      </x:patternFill>
    </x:fill>
    <x:fill>
      <x:patternFill patternType="solid">
        <x:fgColor rgb="FFFFF9C4"/>
      </x:patternFill>
    </x:fill>
    <x:fill>
      <x:patternFill patternType="solid">
        <x:fgColor rgb="FFFFE0B2"/>
      </x:patternFill>
    </x:fill>
    <x:fill>
      <x:patternFill patternType="solid">
        <x:fgColor rgb="FFB3E5FC"/>
      </x:patternFill>
    </x:fill>
    <x:fill>
      <x:patternFill patternType="solid">
        <x:fgColor rgb="FFBBDEFB"/>
      </x:patternFill>
    </x:fill>
    <x:fill>
      <x:patternFill patternType="solid">
        <x:fgColor rgb="FFC8E6C9"/>
      </x:patternFill>
    </x:fill>
    <x:fill>
      <x:patternFill patternType="solid">
        <x:fgColor rgb="FFA5D6A7"/>
      </x:patternFill>
    </x:fill>
    <x:fill>
      <x:patternFill patternType="solid">
        <x:fgColor rgb="FFE1BEE7"/>
      </x:patternFill>
    </x:fill>
    <x:fill>
      <x:patternFill patternType="solid">
        <x:fgColor rgb="FFD1C4E9"/>
      </x:patternFill>
    </x:fill>
    <x:fill>
      <x:patternFill patternType="solid">
        <x:fgColor rgb="FFF8BBD0"/>
      </x:patternFill>
    </x:fill>
    <x:fill>
      <x:patternFill patternType="solid">
        <x:fgColor rgb="FFCFD8DC"/>
      </x:patternFill>
    </x:fill>
    <x:fill>
      <x:patternFill patternType="solid">
        <x:fgColor rgb="FFFFCDD2"/>
      </x:patternFill>
    </x:fill>
    <x:fill>
      <x:patternFill patternType="solid">
        <x:fgColor rgb="FFEF9A9A"/>
      </x:patternFill>
    </x:fill>
    <x:fill>
      <x:patternFill patternType="solid">
        <x:fgColor rgb="FFFFCCBC"/>
      </x:patternFill>
    </x:fill>
    <x:fill>
      <x:patternFill patternType="solid">
        <x:fgColor rgb="FFD7CCC8"/>
      </x:patternFill>
    </x:fill>
    <x:fill>
      <x:patternFill patternType="solid">
        <x:fgColor rgb="FFB2DFDB"/>
      </x:patternFill>
    </x:fill>
    <x:fill>
      <x:patternFill patternType="solid">
        <x:fgColor rgb="FF90A4AE"/>
      </x:patternFill>
    </x:fill>
    <x:fill>
      <x:patternFill patternType="solid">
        <x:fgColor rgb="FFFFF176"/>
      </x:patternFill>
    </x:fill>
    <x:fill>
      <x:patternFill patternType="solid">
        <x:fgColor rgb="FF80CBC4"/>
      </x:patternFill>
    </x:fill>
    <x:fill>
      <x:patternFill patternType="solid">
        <x:fgColor rgb="FF80DEEA"/>
      </x:patternFill>
    </x:fill>
  </x:fills>
  <x:borders count="2">
    <x:border/>
    <x:border/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 applyAlignment="1">
      <x:alignment vertical="top" wrapText="1"/>
    </x:xf>
    <x:xf numFmtId="0" fontId="5" fillId="11" borderId="1" xfId="0" applyNumberFormat="1" applyFont="1" applyFill="1" applyBorder="1" applyAlignment="1">
      <x:alignment vertical="top" wrapText="1"/>
    </x:xf>
    <x:xf numFmtId="0" fontId="4" fillId="12" borderId="0" xfId="0" applyNumberFormat="1" applyFont="1" applyFill="1" applyBorder="1" applyAlignment="1">
      <x:alignment vertical="top" wrapText="1"/>
    </x:xf>
    <x:xf numFmtId="0" fontId="4" fillId="12" borderId="1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 applyAlignment="1">
      <x:alignment vertical="top" wrapText="1"/>
    </x:xf>
    <x:xf numFmtId="0" fontId="5" fillId="12" borderId="1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vertical="top" wrapText="1"/>
    </x:xf>
    <x:xf numFmtId="0" fontId="4" fillId="13" borderId="1" xfId="0" applyNumberFormat="1" applyFont="1" applyFill="1" applyBorder="1" applyAlignment="1">
      <x:alignment vertical="top" wrapText="1"/>
    </x:xf>
    <x:xf numFmtId="0" fontId="5" fillId="13" borderId="0" xfId="0" applyNumberFormat="1" applyFont="1" applyFill="1" applyBorder="1" applyAlignment="1">
      <x:alignment vertical="top" wrapText="1"/>
    </x:xf>
    <x:xf numFmtId="0" fontId="5" fillId="13" borderId="1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4" fillId="14" borderId="1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vertical="top" wrapText="1"/>
    </x:xf>
    <x:xf numFmtId="0" fontId="5" fillId="14" borderId="1" xfId="0" applyNumberFormat="1" applyFont="1" applyFill="1" applyBorder="1" applyAlignment="1">
      <x:alignment vertical="top" wrapText="1"/>
    </x:xf>
    <x:xf numFmtId="0" fontId="4" fillId="15" borderId="0" xfId="0" applyNumberFormat="1" applyFont="1" applyFill="1" applyBorder="1" applyAlignment="1">
      <x:alignment vertical="top" wrapText="1"/>
    </x:xf>
    <x:xf numFmtId="0" fontId="4" fillId="15" borderId="1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5" fillId="15" borderId="1" xfId="0" applyNumberFormat="1" applyFont="1" applyFill="1" applyBorder="1" applyAlignment="1">
      <x:alignment vertical="top" wrapText="1"/>
    </x:xf>
    <x:xf numFmtId="0" fontId="4" fillId="16" borderId="0" xfId="0" applyNumberFormat="1" applyFont="1" applyFill="1" applyBorder="1" applyAlignment="1">
      <x:alignment vertical="top" wrapText="1"/>
    </x:xf>
    <x:xf numFmtId="0" fontId="4" fillId="16" borderId="1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5" fillId="16" borderId="1" xfId="0" applyNumberFormat="1" applyFont="1" applyFill="1" applyBorder="1" applyAlignment="1">
      <x:alignment vertical="top" wrapText="1"/>
    </x:xf>
    <x:xf numFmtId="0" fontId="4" fillId="17" borderId="0" xfId="0" applyNumberFormat="1" applyFont="1" applyFill="1" applyBorder="1" applyAlignment="1">
      <x:alignment vertical="top" wrapText="1"/>
    </x:xf>
    <x:xf numFmtId="0" fontId="4" fillId="17" borderId="1" xfId="0" applyNumberFormat="1" applyFont="1" applyFill="1" applyBorder="1" applyAlignment="1">
      <x:alignment vertical="top" wrapText="1"/>
    </x:xf>
    <x:xf numFmtId="0" fontId="5" fillId="17" borderId="0" xfId="0" applyNumberFormat="1" applyFont="1" applyFill="1" applyBorder="1" applyAlignment="1">
      <x:alignment vertical="top" wrapText="1"/>
    </x:xf>
    <x:xf numFmtId="0" fontId="5" fillId="17" borderId="1" xfId="0" applyNumberFormat="1" applyFont="1" applyFill="1" applyBorder="1" applyAlignment="1">
      <x:alignment vertical="top" wrapText="1"/>
    </x:xf>
    <x:xf numFmtId="0" fontId="4" fillId="18" borderId="0" xfId="0" applyNumberFormat="1" applyFont="1" applyFill="1" applyBorder="1" applyAlignment="1">
      <x:alignment vertical="top" wrapText="1"/>
    </x:xf>
    <x:xf numFmtId="0" fontId="4" fillId="18" borderId="1" xfId="0" applyNumberFormat="1" applyFont="1" applyFill="1" applyBorder="1" applyAlignment="1">
      <x:alignment vertical="top" wrapText="1"/>
    </x:xf>
    <x:xf numFmtId="0" fontId="5" fillId="18" borderId="0" xfId="0" applyNumberFormat="1" applyFont="1" applyFill="1" applyBorder="1" applyAlignment="1">
      <x:alignment vertical="top" wrapText="1"/>
    </x:xf>
    <x:xf numFmtId="0" fontId="5" fillId="18" borderId="1" xfId="0" applyNumberFormat="1" applyFont="1" applyFill="1" applyBorder="1" applyAlignment="1">
      <x:alignment vertical="top" wrapText="1"/>
    </x:xf>
    <x:xf numFmtId="0" fontId="4" fillId="19" borderId="0" xfId="0" applyNumberFormat="1" applyFont="1" applyFill="1" applyBorder="1" applyAlignment="1">
      <x:alignment vertical="top" wrapText="1"/>
    </x:xf>
    <x:xf numFmtId="0" fontId="4" fillId="19" borderId="1" xfId="0" applyNumberFormat="1" applyFont="1" applyFill="1" applyBorder="1" applyAlignment="1">
      <x:alignment vertical="top" wrapText="1"/>
    </x:xf>
    <x:xf numFmtId="0" fontId="5" fillId="19" borderId="0" xfId="0" applyNumberFormat="1" applyFont="1" applyFill="1" applyBorder="1" applyAlignment="1">
      <x:alignment vertical="top" wrapText="1"/>
    </x:xf>
    <x:xf numFmtId="0" fontId="5" fillId="19" borderId="1" xfId="0" applyNumberFormat="1" applyFont="1" applyFill="1" applyBorder="1" applyAlignment="1">
      <x:alignment vertical="top" wrapText="1"/>
    </x:xf>
    <x:xf numFmtId="0" fontId="4" fillId="20" borderId="0" xfId="0" applyNumberFormat="1" applyFont="1" applyFill="1" applyBorder="1" applyAlignment="1">
      <x:alignment vertical="top" wrapText="1"/>
    </x:xf>
    <x:xf numFmtId="0" fontId="4" fillId="20" borderId="1" xfId="0" applyNumberFormat="1" applyFont="1" applyFill="1" applyBorder="1" applyAlignment="1">
      <x:alignment vertical="top" wrapText="1"/>
    </x:xf>
    <x:xf numFmtId="0" fontId="5" fillId="20" borderId="0" xfId="0" applyNumberFormat="1" applyFont="1" applyFill="1" applyBorder="1" applyAlignment="1">
      <x:alignment vertical="top" wrapText="1"/>
    </x:xf>
    <x:xf numFmtId="0" fontId="5" fillId="20" borderId="1" xfId="0" applyNumberFormat="1" applyFont="1" applyFill="1" applyBorder="1" applyAlignment="1">
      <x:alignment vertical="top" wrapText="1"/>
    </x:xf>
    <x:xf numFmtId="0" fontId="4" fillId="21" borderId="0" xfId="0" applyNumberFormat="1" applyFont="1" applyFill="1" applyBorder="1" applyAlignment="1">
      <x:alignment vertical="top" wrapText="1"/>
    </x:xf>
    <x:xf numFmtId="0" fontId="4" fillId="21" borderId="1" xfId="0" applyNumberFormat="1" applyFont="1" applyFill="1" applyBorder="1" applyAlignment="1">
      <x:alignment vertical="top" wrapText="1"/>
    </x:xf>
    <x:xf numFmtId="0" fontId="5" fillId="21" borderId="0" xfId="0" applyNumberFormat="1" applyFont="1" applyFill="1" applyBorder="1" applyAlignment="1">
      <x:alignment vertical="top" wrapText="1"/>
    </x:xf>
    <x:xf numFmtId="0" fontId="5" fillId="21" borderId="1" xfId="0" applyNumberFormat="1" applyFont="1" applyFill="1" applyBorder="1" applyAlignment="1">
      <x:alignment vertical="top" wrapText="1"/>
    </x:xf>
    <x:xf numFmtId="0" fontId="4" fillId="22" borderId="0" xfId="0" applyNumberFormat="1" applyFont="1" applyFill="1" applyBorder="1" applyAlignment="1">
      <x:alignment vertical="top" wrapText="1"/>
    </x:xf>
    <x:xf numFmtId="0" fontId="4" fillId="22" borderId="1" xfId="0" applyNumberFormat="1" applyFont="1" applyFill="1" applyBorder="1" applyAlignment="1">
      <x:alignment vertical="top" wrapText="1"/>
    </x:xf>
    <x:xf numFmtId="0" fontId="5" fillId="22" borderId="0" xfId="0" applyNumberFormat="1" applyFont="1" applyFill="1" applyBorder="1" applyAlignment="1">
      <x:alignment vertical="top" wrapText="1"/>
    </x:xf>
    <x:xf numFmtId="0" fontId="5" fillId="22" borderId="1" xfId="0" applyNumberFormat="1" applyFont="1" applyFill="1" applyBorder="1" applyAlignment="1">
      <x:alignment vertical="top" wrapText="1"/>
    </x:xf>
    <x:xf numFmtId="0" fontId="4" fillId="23" borderId="0" xfId="0" applyNumberFormat="1" applyFont="1" applyFill="1" applyBorder="1" applyAlignment="1">
      <x:alignment vertical="top" wrapText="1"/>
    </x:xf>
    <x:xf numFmtId="0" fontId="4" fillId="23" borderId="1" xfId="0" applyNumberFormat="1" applyFont="1" applyFill="1" applyBorder="1" applyAlignment="1">
      <x:alignment vertical="top" wrapText="1"/>
    </x:xf>
    <x:xf numFmtId="0" fontId="5" fillId="23" borderId="0" xfId="0" applyNumberFormat="1" applyFont="1" applyFill="1" applyBorder="1" applyAlignment="1">
      <x:alignment vertical="top" wrapText="1"/>
    </x:xf>
    <x:xf numFmtId="0" fontId="5" fillId="23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wrapText="1"/>
    </x:xf>
    <x:xf numFmtId="201" fontId="7" fillId="0" borderId="1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 applyAlignment="1">
      <x:alignment horizontal="center"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ill>
        <x:patternFill patternType="solid">
          <x:bgColor rgb="FFFFF1F2"/>
        </x:patternFill>
      </x:fill>
    </x:dxf>
    <x:dxf>
      <x:fill>
        <x:patternFill patternType="solid">
          <x:bgColor rgb="FFFFFBEB"/>
        </x:patternFill>
      </x:fill>
    </x:dxf>
    <x:dxf>
      <x:fill>
        <x:patternFill patternType="solid">
          <x:bgColor rgb="FFFEF9C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e38aeba2674287" /><Relationship Type="http://schemas.openxmlformats.org/officeDocument/2006/relationships/theme" Target="/xl/theme/theme1.xml" Id="R8f1587f39a664aa9" /><Relationship Type="http://schemas.openxmlformats.org/officeDocument/2006/relationships/sharedStrings" Target="/xl/sharedStrings.xml" Id="Ra357b7471e144400" /><Relationship Type="http://schemas.openxmlformats.org/officeDocument/2006/relationships/worksheet" Target="/xl/worksheets/sheet1.xml" Id="Ra974f6a8a4fa46e5" /><Relationship Type="http://schemas.openxmlformats.org/officeDocument/2006/relationships/worksheet" Target="/xl/worksheets/sheet2.xml" Id="R5a121079467f449b" /><Relationship Type="http://schemas.openxmlformats.org/officeDocument/2006/relationships/worksheet" Target="/xl/worksheets/sheet3.xml" Id="R9f0d48205d9a4c4e" /><Relationship Type="http://schemas.openxmlformats.org/officeDocument/2006/relationships/worksheet" Target="/xl/worksheets/sheet4.xml" Id="R663cf728b44e44f5" /><Relationship Type="http://schemas.openxmlformats.org/officeDocument/2006/relationships/worksheet" Target="/xl/worksheets/sheet5.xml" Id="R3156d3f7f3f043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2fd9d6783543f3" /><Relationship Type="http://schemas.openxmlformats.org/officeDocument/2006/relationships/chart" Target="/xl/drawings/charts/chart2.xml" Id="R5713b6d14bbf42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Distribución por estado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Cantidad</c:v>
          </c:tx>
          <c:cat>
            <c:strRef>
              <c:f>'Resumen'!$F$5:$F$9</c:f>
              <c:strCache>
                <c:ptCount val="0"/>
              </c:strCache>
            </c:strRef>
          </c:cat>
          <c:val>
            <c:numRef>
              <c:f>'Resumen'!$G$5:$G$9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Avance por Intent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'Resumen'!$A$21:$A$40</c:f>
              <c:strCache>
                <c:ptCount val="0"/>
              </c:strCache>
            </c:strRef>
          </c:cat>
          <c:val>
            <c:numRef>
              <c:f>'Resumen'!$B$21:$B$40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Completados</c:v>
          </c:tx>
          <c:cat>
            <c:strRef>
              <c:f>'Resumen'!$A$21:$A$40</c:f>
              <c:strCache>
                <c:ptCount val="0"/>
              </c:strCache>
            </c:strRef>
          </c:cat>
          <c:val>
            <c:numRef>
              <c:f>'Resumen'!$C$21:$C$40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10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2fd9d6783543f3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10</xdr:col>
      <xdr:colOff>0</xdr:colOff>
      <xdr:row>62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13b6d14bbf42c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oltsTable" displayName="BoltsTable" ref="A4:P238" headerRowCount="1">
  <x:tableColumns count="16">
    <x:tableColumn id="1" name="Intent"/>
    <x:tableColumn id="2" name="ID del Bolt"/>
    <x:tableColumn id="3" name="Descripción del Bolt"/>
    <x:tableColumn id="4" name="Fase / Módulo"/>
    <x:tableColumn id="5" name="¿Implementación registrada?"/>
    <x:tableColumn id="6" name="Evidencia de implementación"/>
    <x:tableColumn id="7" name="¿Pruebas ejecutadas?"/>
    <x:tableColumn id="8" name="Evidencia de pruebas"/>
    <x:tableColumn id="9" name="Estado"/>
    <x:tableColumn id="10" name="Prioridad"/>
    <x:tableColumn id="11" name="Responsable"/>
    <x:tableColumn id="12" name="Tipo de Bolt"/>
    <x:tableColumn id="13" name="Riesgo asociado"/>
    <x:tableColumn id="14" name="Observaciones"/>
    <x:tableColumn id="15" name="Fecha estimada"/>
    <x:tableColumn id="16" name="Fecha de cierre"/>
  </x:tableColumns>
  <x:tableStyleInfo name="TableStyleMedium2" showRowStripes="1"/>
</x:table>
</file>

<file path=xl/tables/table2.xml><?xml version="1.0" encoding="utf-8"?>
<x:table xmlns:x="http://schemas.openxmlformats.org/spreadsheetml/2006/main" id="2" name="IntentSummaryTable" displayName="IntentSummaryTable" ref="A20:E40" headerRowCount="1">
  <x:tableColumns count="5">
    <x:tableColumn id="1" name="Intent"/>
    <x:tableColumn id="2" name="Total"/>
    <x:tableColumn id="3" name="Completados"/>
    <x:tableColumn id="4" name="Pendientes/Observados"/>
    <x:tableColumn id="5" name="% Avance"/>
  </x:tableColumns>
  <x:tableStyleInfo name="TableStyleMedium2" showRowStripes="1"/>
</x:table>
</file>

<file path=xl/tables/table3.xml><?xml version="1.0" encoding="utf-8"?>
<x:table xmlns:x="http://schemas.openxmlformats.org/spreadsheetml/2006/main" id="3" name="ResponsibleSummaryTable" displayName="ResponsibleSummaryTable" ref="G20:J23" headerRowCount="1">
  <x:tableColumns count="4">
    <x:tableColumn id="1" name="Responsable"/>
    <x:tableColumn id="2" name="Total"/>
    <x:tableColumn id="3" name="Completados"/>
    <x:tableColumn id="4" name="% Avance"/>
  </x:tableColumns>
  <x:tableStyleInfo name="TableStyleMedium2" showRowStripes="1"/>
</x:table>
</file>

<file path=xl/tables/table4.xml><?xml version="1.0" encoding="utf-8"?>
<x:table xmlns:x="http://schemas.openxmlformats.org/spreadsheetml/2006/main" id="4" name="CorreccionesQATable" displayName="CorreccionesQATable" ref="A4:E11" headerRowCount="1">
  <x:tableColumns count="5">
    <x:tableColumn id="1" name="ID del Bolt"/>
    <x:tableColumn id="2" name="Intent"/>
    <x:tableColumn id="3" name="Estado original"/>
    <x:tableColumn id="4" name="Estado corregido"/>
    <x:tableColumn id="5" name="Motivo de corrección"/>
  </x:tableColumns>
  <x:tableStyleInfo name="TableStyleMedium2" showRowStripes="1"/>
</x:table>
</file>

<file path=xl/tables/table5.xml><?xml version="1.0" encoding="utf-8"?>
<x:table xmlns:x="http://schemas.openxmlformats.org/spreadsheetml/2006/main" id="5" name="PendientesCriticosTable" displayName="PendientesCriticosTable" ref="A4:H27" headerRowCount="1">
  <x:tableColumns count="8">
    <x:tableColumn id="1" name="Intent"/>
    <x:tableColumn id="2" name="ID del Bolt"/>
    <x:tableColumn id="3" name="Descripción"/>
    <x:tableColumn id="4" name="Estado"/>
    <x:tableColumn id="5" name="Prioridad"/>
    <x:tableColumn id="6" name="Riesgo"/>
    <x:tableColumn id="7" name="Responsable"/>
    <x:tableColumn id="8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4b095f561743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bb4f5e3b717476a" /><Relationship Type="http://schemas.openxmlformats.org/officeDocument/2006/relationships/table" Target="/xl/tables/table2.xml" Id="Ra39058a1cd5f4381" /><Relationship Type="http://schemas.openxmlformats.org/officeDocument/2006/relationships/table" Target="/xl/tables/table3.xml" Id="R7938d03356e642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fe39cb24fc4c42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4aae53d6d1342b3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48" hidden="0" customWidth="1"/>
    <x:col min="4" max="4" width="25" hidden="0" customWidth="1"/>
    <x:col min="5" max="5" width="20" hidden="0" customWidth="1"/>
    <x:col min="6" max="6" width="46" hidden="0" customWidth="1"/>
    <x:col min="7" max="7" width="18" hidden="0" customWidth="1"/>
    <x:col min="8" max="8" width="42" hidden="0" customWidth="1"/>
    <x:col min="9" max="9" width="16" hidden="0" customWidth="1"/>
    <x:col min="10" max="10" width="12" hidden="0" customWidth="1"/>
    <x:col min="11" max="11" width="33" hidden="0" customWidth="1"/>
    <x:col min="12" max="12" width="19" hidden="0" customWidth="1"/>
    <x:col min="13" max="13" width="15" hidden="0" customWidth="1"/>
    <x:col min="14" max="14" width="52" hidden="0" customWidth="1"/>
    <x:col min="15" max="15" width="14" hidden="0" customWidth="1"/>
    <x:col min="16" max="16" width="14" hidden="0" customWidth="1"/>
  </x:cols>
  <x:sheetData>
    <x:row r="1" ht="26" customHeight="1">
      <x:c r="A1" s="5" t="str">
        <x:v>MATRIZ DE REGISTRO BOLTS – SIDERAE-BLENKIR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2" customHeight="1">
      <x:c r="A2" s="13" t="str">
        <x:v>Documento de control técnico del proyecto | Revisión: 23/06/2026 20:09 | Fuente base: matriz generada por Antigravity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3" ht="22" customHeight="1">
      <x:c r="A3" s="13" t="str">
        <x:v>Sistema Inteligente de Detección Temprana de Riesgo Académico y Deserción Estudiantil – Colegio Blenkir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4" ht="42" customHeight="1">
      <x:c r="A4" s="22" t="str">
        <x:v>Intent</x:v>
      </x:c>
      <x:c r="B4" s="22" t="str">
        <x:v>ID del Bolt</x:v>
      </x:c>
      <x:c r="C4" s="22" t="str">
        <x:v>Descripción del Bolt</x:v>
      </x:c>
      <x:c r="D4" s="22" t="str">
        <x:v>Fase / Módulo</x:v>
      </x:c>
      <x:c r="E4" s="22" t="str">
        <x:v>¿Implementación registrada?</x:v>
      </x:c>
      <x:c r="F4" s="22" t="str">
        <x:v>Evidencia de implementación</x:v>
      </x:c>
      <x:c r="G4" s="22" t="str">
        <x:v>¿Pruebas ejecutadas?</x:v>
      </x:c>
      <x:c r="H4" s="22" t="str">
        <x:v>Evidencia de pruebas</x:v>
      </x:c>
      <x:c r="I4" s="22" t="str">
        <x:v>Estado</x:v>
      </x:c>
      <x:c r="J4" s="22" t="str">
        <x:v>Prioridad</x:v>
      </x:c>
      <x:c r="K4" s="22" t="str">
        <x:v>Responsable</x:v>
      </x:c>
      <x:c r="L4" s="22" t="str">
        <x:v>Tipo de Bolt</x:v>
      </x:c>
      <x:c r="M4" s="22" t="str">
        <x:v>Riesgo asociado</x:v>
      </x:c>
      <x:c r="N4" s="22" t="str">
        <x:v>Observaciones</x:v>
      </x:c>
      <x:c r="O4" s="22" t="str">
        <x:v>Fecha estimada</x:v>
      </x:c>
      <x:c r="P4" s="22" t="str">
        <x:v>Fecha de cierre</x:v>
      </x:c>
    </x:row>
    <x:row r="5">
      <x:c r="A5" s="36" t="str">
        <x:v>INT-001 Configurar base del proyecto y entorno</x:v>
      </x:c>
      <x:c r="B5" s="32" t="str">
        <x:v>INT-001-BOLT-001</x:v>
      </x:c>
      <x:c r="C5" s="32" t="str">
        <x:v>Configurar estructura base del repositorio del proyecto</x:v>
      </x:c>
      <x:c r="D5" s="32" t="str">
        <x:v>Entorno / DevOps</x:v>
      </x:c>
      <x:c r="E5" s="32" t="str">
        <x:v>Sí</x:v>
      </x:c>
      <x:c r="F5" s="32" t="str">
        <x:v>README.md, .gitignore, ARCHITECTURE.md, .cursorrules, AGENTS.md</x:v>
      </x:c>
      <x:c r="G5" s="32" t="str">
        <x:v>No</x:v>
      </x:c>
      <x:c r="H5" s="32" t="str">
        <x:v>No aplica</x:v>
      </x:c>
      <x:c r="I5" s="32" t="str">
        <x:v>Completado</x:v>
      </x:c>
      <x:c r="J5" s="32" t="str">
        <x:v>Alta</x:v>
      </x:c>
      <x:c r="K5" s="32" t="str">
        <x:v>Equipo SIDERAE</x:v>
      </x:c>
      <x:c r="L5" s="32" t="str">
        <x:v>DevOps</x:v>
      </x:c>
      <x:c r="M5" s="32" t="str">
        <x:v>Bajo</x:v>
      </x:c>
      <x:c r="N5" s="32" t="str">
        <x:v>Repositorio con frontend/, backend/, ml-service/, docs/, sprints/, tools/</x:v>
      </x:c>
      <x:c r="O5" s="110" t="str">
        <x:v>2026-04-20</x:v>
      </x:c>
      <x:c r="P5" s="110" t="str">
        <x:v>2026-04-23</x:v>
      </x:c>
    </x:row>
    <x:row r="6">
      <x:c r="A6" s="36" t="str">
        <x:v>INT-001 Configurar base del proyecto y entorno</x:v>
      </x:c>
      <x:c r="B6" s="32" t="str">
        <x:v>INT-001-BOLT-002</x:v>
      </x:c>
      <x:c r="C6" s="32" t="str">
        <x:v>Configurar Docker Compose con servicios frontend, backend, base de datos y microservicio ML</x:v>
      </x:c>
      <x:c r="D6" s="32" t="str">
        <x:v>Entorno / DevOps</x:v>
      </x:c>
      <x:c r="E6" s="32" t="str">
        <x:v>Sí</x:v>
      </x:c>
      <x:c r="F6" s="32" t="str">
        <x:v>docker-compose.yml (4 servicios: db-mysql, app-backend, app-frontend, ml-engine)</x:v>
      </x:c>
      <x:c r="G6" s="32" t="str">
        <x:v>No</x:v>
      </x:c>
      <x:c r="H6" s="32" t="str">
        <x:v>Pendiente de adjuntar</x:v>
      </x:c>
      <x:c r="I6" s="32" t="str">
        <x:v>Completado</x:v>
      </x:c>
      <x:c r="J6" s="32" t="str">
        <x:v>Alta</x:v>
      </x:c>
      <x:c r="K6" s="32" t="str">
        <x:v>Equipo SIDERAE</x:v>
      </x:c>
      <x:c r="L6" s="32" t="str">
        <x:v>DevOps</x:v>
      </x:c>
      <x:c r="M6" s="32" t="str">
        <x:v>Bajo</x:v>
      </x:c>
      <x:c r="N6" s="32" t="str">
        <x:v>Docker Compose funcional con MySQL 8, Laravel, Vite y Flask</x:v>
      </x:c>
      <x:c r="O6" s="110" t="str">
        <x:v>2026-04-20</x:v>
      </x:c>
      <x:c r="P6" s="110" t="str">
        <x:v>2026-04-23</x:v>
      </x:c>
    </x:row>
    <x:row r="7">
      <x:c r="A7" s="36" t="str">
        <x:v>INT-001 Configurar base del proyecto y entorno</x:v>
      </x:c>
      <x:c r="B7" s="32" t="str">
        <x:v>INT-001-BOLT-003</x:v>
      </x:c>
      <x:c r="C7" s="32" t="str">
        <x:v>Configurar variables de entorno sin credenciales expuestas</x:v>
      </x:c>
      <x:c r="D7" s="32" t="str">
        <x:v>Entorno / DevOps</x:v>
      </x:c>
      <x:c r="E7" s="32" t="str">
        <x:v>Sí</x:v>
      </x:c>
      <x:c r="F7" s="32" t="str">
        <x:v>backend/.env.example, frontend/.env.example, ml-service/.env.example</x:v>
      </x:c>
      <x:c r="G7" s="32" t="str">
        <x:v>No</x:v>
      </x:c>
      <x:c r="H7" s="32" t="str">
        <x:v>No aplica</x:v>
      </x:c>
      <x:c r="I7" s="32" t="str">
        <x:v>Completado</x:v>
      </x:c>
      <x:c r="J7" s="32" t="str">
        <x:v>Alta</x:v>
      </x:c>
      <x:c r="K7" s="32" t="str">
        <x:v>Equipo SIDERAE</x:v>
      </x:c>
      <x:c r="L7" s="32" t="str">
        <x:v>DevOps</x:v>
      </x:c>
      <x:c r="M7" s="32" t="str">
        <x:v>Bajo</x:v>
      </x:c>
      <x:c r="N7" s="32" t="str">
        <x:v>Archivos .env.example sin credenciales reales; .env en .gitignore</x:v>
      </x:c>
      <x:c r="O7" s="110" t="str">
        <x:v>2026-04-20</x:v>
      </x:c>
      <x:c r="P7" s="110" t="str">
        <x:v>2026-04-23</x:v>
      </x:c>
    </x:row>
    <x:row r="8">
      <x:c r="A8" s="36" t="str">
        <x:v>INT-001 Configurar base del proyecto y entorno</x:v>
      </x:c>
      <x:c r="B8" s="32" t="str">
        <x:v>INT-001-BOLT-004</x:v>
      </x:c>
      <x:c r="C8" s="32" t="str">
        <x:v>Configurar conexión Laravel con MySQL</x:v>
      </x:c>
      <x:c r="D8" s="32" t="str">
        <x:v>Backend</x:v>
      </x:c>
      <x:c r="E8" s="32" t="str">
        <x:v>Sí</x:v>
      </x:c>
      <x:c r="F8" s="32" t="str">
        <x:v>backend/config/database.php, docker-compose.yml (servicio db-mysql)</x:v>
      </x:c>
      <x:c r="G8" s="32" t="str">
        <x:v>No</x:v>
      </x:c>
      <x:c r="H8" s="32" t="str">
        <x:v>No aplica</x:v>
      </x:c>
      <x:c r="I8" s="32" t="str">
        <x:v>Completado</x:v>
      </x:c>
      <x:c r="J8" s="32" t="str">
        <x:v>Alta</x:v>
      </x:c>
      <x:c r="K8" s="32" t="str">
        <x:v>Ernesto Marcial Constantino Chuchon Sotelo</x:v>
      </x:c>
      <x:c r="L8" s="32" t="str">
        <x:v>Backend</x:v>
      </x:c>
      <x:c r="M8" s="32" t="str">
        <x:v>Bajo</x:v>
      </x:c>
      <x:c r="N8" s="32" t="str">
        <x:v>Conexión MySQL configurada vía variables de entorno</x:v>
      </x:c>
      <x:c r="O8" s="110" t="str">
        <x:v>2026-04-20</x:v>
      </x:c>
      <x:c r="P8" s="110" t="str">
        <x:v>2026-04-23</x:v>
      </x:c>
    </x:row>
    <x:row r="9">
      <x:c r="A9" s="36" t="str">
        <x:v>INT-001 Configurar base del proyecto y entorno</x:v>
      </x:c>
      <x:c r="B9" s="32" t="str">
        <x:v>INT-001-BOLT-005</x:v>
      </x:c>
      <x:c r="C9" s="32" t="str">
        <x:v>Configurar frontend React con Vite</x:v>
      </x:c>
      <x:c r="D9" s="32" t="str">
        <x:v>Frontend</x:v>
      </x:c>
      <x:c r="E9" s="32" t="str">
        <x:v>Sí</x:v>
      </x:c>
      <x:c r="F9" s="32" t="str">
        <x:v>frontend/vite.config.js, frontend/package.json, frontend/index.html</x:v>
      </x:c>
      <x:c r="G9" s="32" t="str">
        <x:v>No</x:v>
      </x:c>
      <x:c r="H9" s="32" t="str">
        <x:v>No aplica</x:v>
      </x:c>
      <x:c r="I9" s="32" t="str">
        <x:v>Completado</x:v>
      </x:c>
      <x:c r="J9" s="32" t="str">
        <x:v>Alta</x:v>
      </x:c>
      <x:c r="K9" s="32" t="str">
        <x:v>Diego Ricardo Carhuamaca Vasquez</x:v>
      </x:c>
      <x:c r="L9" s="32" t="str">
        <x:v>Frontend</x:v>
      </x:c>
      <x:c r="M9" s="32" t="str">
        <x:v>Bajo</x:v>
      </x:c>
      <x:c r="N9" s="32" t="str">
        <x:v>React + Vite + TailwindCSS configurado</x:v>
      </x:c>
      <x:c r="O9" s="110" t="str">
        <x:v>2026-04-20</x:v>
      </x:c>
      <x:c r="P9" s="110" t="str">
        <x:v>2026-04-23</x:v>
      </x:c>
    </x:row>
    <x:row r="10">
      <x:c r="A10" s="36" t="str">
        <x:v>INT-001 Configurar base del proyecto y entorno</x:v>
      </x:c>
      <x:c r="B10" s="32" t="str">
        <x:v>INT-001-BOLT-006</x:v>
      </x:c>
      <x:c r="C10" s="32" t="str">
        <x:v>Configurar microservicio Flask para análisis de riesgo</x:v>
      </x:c>
      <x:c r="D10" s="32" t="str">
        <x:v>ML / Backend</x:v>
      </x:c>
      <x:c r="E10" s="32" t="str">
        <x:v>Sí</x:v>
      </x:c>
      <x:c r="F10" s="32" t="str">
        <x:v>ml-service/main.py, ml-service/Dockerfile, ml-service/requirements.txt</x:v>
      </x:c>
      <x:c r="G10" s="32" t="str">
        <x:v>No</x:v>
      </x:c>
      <x:c r="H10" s="32" t="str">
        <x:v>Pendiente de adjuntar</x:v>
      </x:c>
      <x:c r="I10" s="32" t="str">
        <x:v>Observado</x:v>
      </x:c>
      <x:c r="J10" s="32" t="str">
        <x:v>Alta</x:v>
      </x:c>
      <x:c r="K10" s="32" t="str">
        <x:v>Ernesto Marcial Constantino Chuchon Sotelo</x:v>
      </x:c>
      <x:c r="L10" s="32" t="str">
        <x:v>ML</x:v>
      </x:c>
      <x:c r="M10" s="32" t="str">
        <x:v>Bajo</x:v>
      </x:c>
      <x:c r="N10" s="32" t="str">
        <x:v>Flask con endpoint /predict determinístico funcional Corrección QA: Está completado, pero no tiene evidencia de pruebas ejecutadas.</x:v>
      </x:c>
      <x:c r="O10" s="110" t="str">
        <x:v>2026-04-20</x:v>
      </x:c>
      <x:c r="P10" s="110" t="str">
        <x:v>2026-04-23</x:v>
      </x:c>
    </x:row>
    <x:row r="11">
      <x:c r="A11" s="36" t="str">
        <x:v>INT-001 Configurar base del proyecto y entorno</x:v>
      </x:c>
      <x:c r="B11" s="32" t="str">
        <x:v>INT-001-BOLT-007</x:v>
      </x:c>
      <x:c r="C11" s="32" t="str">
        <x:v>Validar que los contenedores levanten correctamente</x:v>
      </x:c>
      <x:c r="D11" s="32" t="str">
        <x:v>Entorno / DevOps</x:v>
      </x:c>
      <x:c r="E11" s="32" t="str">
        <x:v>Sí</x:v>
      </x:c>
      <x:c r="F11" s="32" t="str">
        <x:v>docker-compose.yml (healthcheck en mysql, depends_on con condition)</x:v>
      </x:c>
      <x:c r="G11" s="32" t="str">
        <x:v>No</x:v>
      </x:c>
      <x:c r="H11" s="32" t="str">
        <x:v>Pendiente de adjuntar</x:v>
      </x:c>
      <x:c r="I11" s="32" t="str">
        <x:v>En proceso</x:v>
      </x:c>
      <x:c r="J11" s="32" t="str">
        <x:v>Media</x:v>
      </x:c>
      <x:c r="K11" s="32" t="str">
        <x:v>Equipo SIDERAE</x:v>
      </x:c>
      <x:c r="L11" s="32" t="str">
        <x:v>DevOps</x:v>
      </x:c>
      <x:c r="M11" s="32" t="str">
        <x:v>Medio</x:v>
      </x:c>
      <x:c r="N11" s="32" t="str">
        <x:v>Healthcheck MySQL configurado; falta prueba automatizada de levantamiento completo</x:v>
      </x:c>
      <x:c r="O11" s="110" t="str">
        <x:v>2026-04-25</x:v>
      </x:c>
      <x:c r="P11" s="110" t="str">
        <x:v>Pendiente</x:v>
      </x:c>
    </x:row>
    <x:row r="12">
      <x:c r="A12" s="36" t="str">
        <x:v>INT-001 Configurar base del proyecto y entorno</x:v>
      </x:c>
      <x:c r="B12" s="32" t="str">
        <x:v>INT-001-BOLT-008</x:v>
      </x:c>
      <x:c r="C12" s="32" t="str">
        <x:v>Documentar comandos básicos de instalación y ejecución</x:v>
      </x:c>
      <x:c r="D12" s="32" t="str">
        <x:v>Documentación</x:v>
      </x:c>
      <x:c r="E12" s="32" t="str">
        <x:v>Sí</x:v>
      </x:c>
      <x:c r="F12" s="32" t="str">
        <x:v>README.md, docs/instalacion-docker.md, docs/manual-tecnico.md</x:v>
      </x:c>
      <x:c r="G12" s="32" t="str">
        <x:v>No</x:v>
      </x:c>
      <x:c r="H12" s="32" t="str">
        <x:v>No aplica</x:v>
      </x:c>
      <x:c r="I12" s="32" t="str">
        <x:v>Completado</x:v>
      </x:c>
      <x:c r="J12" s="32" t="str">
        <x:v>Media</x:v>
      </x:c>
      <x:c r="K12" s="32" t="str">
        <x:v>Equipo SIDERAE</x:v>
      </x:c>
      <x:c r="L12" s="32" t="str">
        <x:v>Documentación</x:v>
      </x:c>
      <x:c r="M12" s="32" t="str">
        <x:v>Bajo</x:v>
      </x:c>
      <x:c r="N12" s="32" t="str">
        <x:v>README con instrucciones de Docker Compose, manual técnico y de instalación</x:v>
      </x:c>
      <x:c r="O12" s="110" t="str">
        <x:v>2026-04-25</x:v>
      </x:c>
      <x:c r="P12" s="110" t="str">
        <x:v>2026-05-05</x:v>
      </x:c>
    </x:row>
    <x:row r="13">
      <x:c r="A13" s="40" t="str">
        <x:v>INT-002 Autenticación, usuarios y roles</x:v>
      </x:c>
      <x:c r="B13" s="32" t="str">
        <x:v>INT-002-BOLT-001</x:v>
      </x:c>
      <x:c r="C13" s="32" t="str">
        <x:v>Implementar login de usuarios</x:v>
      </x:c>
      <x:c r="D13" s="32" t="str">
        <x:v>Autenticación</x:v>
      </x:c>
      <x:c r="E13" s="32" t="str">
        <x:v>Sí</x:v>
      </x:c>
      <x:c r="F13" s="32" t="str">
        <x:v>backend/app/Http/Controllers/Auth/AuthenticatedSessionController.php, frontend/src/components/LoginForm.jsx</x:v>
      </x:c>
      <x:c r="G13" s="32" t="str">
        <x:v>Sí</x:v>
      </x:c>
      <x:c r="H13" s="32" t="str">
        <x:v>backend/tests/Feature/Auth/AuthenticationTest.php</x:v>
      </x:c>
      <x:c r="I13" s="32" t="str">
        <x:v>Completado</x:v>
      </x:c>
      <x:c r="J13" s="32" t="str">
        <x:v>Alta</x:v>
      </x:c>
      <x:c r="K13" s="32" t="str">
        <x:v>Ernesto Marcial Constantino Chuchon Sotelo</x:v>
      </x:c>
      <x:c r="L13" s="32" t="str">
        <x:v>Backend</x:v>
      </x:c>
      <x:c r="M13" s="32" t="str">
        <x:v>Bajo</x:v>
      </x:c>
      <x:c r="N13" s="32" t="str">
        <x:v>Login funcional con Sanctum + formulario React</x:v>
      </x:c>
      <x:c r="O13" s="110" t="str">
        <x:v>2026-04-23</x:v>
      </x:c>
      <x:c r="P13" s="110" t="str">
        <x:v>2026-04-23</x:v>
      </x:c>
    </x:row>
    <x:row r="14">
      <x:c r="A14" s="40" t="str">
        <x:v>INT-002 Autenticación, usuarios y roles</x:v>
      </x:c>
      <x:c r="B14" s="32" t="str">
        <x:v>INT-002-BOLT-002</x:v>
      </x:c>
      <x:c r="C14" s="32" t="str">
        <x:v>Configurar Laravel Sanctum para autenticación</x:v>
      </x:c>
      <x:c r="D14" s="32" t="str">
        <x:v>Autenticación</x:v>
      </x:c>
      <x:c r="E14" s="32" t="str">
        <x:v>Sí</x:v>
      </x:c>
      <x:c r="F14" s="32" t="str">
        <x:v>backend/composer.json (laravel/sanctum ^4.0), backend/config/sanctum.php, backend/database/migrations/2026_04_23_013824_create_personal_access_tokens_table.php</x:v>
      </x:c>
      <x:c r="G14" s="32" t="str">
        <x:v>Sí</x:v>
      </x:c>
      <x:c r="H14" s="32" t="str">
        <x:v>backend/tests/Feature/Auth/AuthenticationTest.php</x:v>
      </x:c>
      <x:c r="I14" s="32" t="str">
        <x:v>Completado</x:v>
      </x:c>
      <x:c r="J14" s="32" t="str">
        <x:v>Alta</x:v>
      </x:c>
      <x:c r="K14" s="32" t="str">
        <x:v>Ernesto Marcial Constantino Chuchon Sotelo</x:v>
      </x:c>
      <x:c r="L14" s="32" t="str">
        <x:v>Backend</x:v>
      </x:c>
      <x:c r="M14" s="32" t="str">
        <x:v>Bajo</x:v>
      </x:c>
      <x:c r="N14" s="32" t="str">
        <x:v>Sanctum v4 instalado y configurado con migración de tokens</x:v>
      </x:c>
      <x:c r="O14" s="110" t="str">
        <x:v>2026-04-23</x:v>
      </x:c>
      <x:c r="P14" s="110" t="str">
        <x:v>2026-04-23</x:v>
      </x:c>
    </x:row>
    <x:row r="15">
      <x:c r="A15" s="40" t="str">
        <x:v>INT-002 Autenticación, usuarios y roles</x:v>
      </x:c>
      <x:c r="B15" s="32" t="str">
        <x:v>INT-002-BOLT-003</x:v>
      </x:c>
      <x:c r="C15" s="32" t="str">
        <x:v>Crear roles del sistema</x:v>
      </x:c>
      <x:c r="D15" s="32" t="str">
        <x:v>Autenticación</x:v>
      </x:c>
      <x:c r="E15" s="32" t="str">
        <x:v>Sí</x:v>
      </x:c>
      <x:c r="F15" s="32" t="str">
        <x:v>backend/database/seeders/RolesSeeder.php, backend/database/seeders/PermissionsSeeder.php (roles: administrador, docente, coordinador_academico, psicologo_tutor, directivo)</x:v>
      </x:c>
      <x:c r="G15" s="32" t="str">
        <x:v>Sí</x:v>
      </x:c>
      <x:c r="H15" s="32" t="str">
        <x:v>backend/tests/Feature/GestionUsuariosTest.php</x:v>
      </x:c>
      <x:c r="I15" s="32" t="str">
        <x:v>Completado</x:v>
      </x:c>
      <x:c r="J15" s="32" t="str">
        <x:v>Alta</x:v>
      </x:c>
      <x:c r="K15" s="32" t="str">
        <x:v>Ernesto Marcial Constantino Chuchon Sotelo</x:v>
      </x:c>
      <x:c r="L15" s="32" t="str">
        <x:v>Backend</x:v>
      </x:c>
      <x:c r="M15" s="32" t="str">
        <x:v>Bajo</x:v>
      </x:c>
      <x:c r="N15" s="32" t="str">
        <x:v>5 roles creados; falta rol 'secretaria_matricula' como rol independiente</x:v>
      </x:c>
      <x:c r="O15" s="110" t="str">
        <x:v>2026-04-23</x:v>
      </x:c>
      <x:c r="P15" s="110" t="str">
        <x:v>2026-04-23</x:v>
      </x:c>
    </x:row>
    <x:row r="16">
      <x:c r="A16" s="40" t="str">
        <x:v>INT-002 Autenticación, usuarios y roles</x:v>
      </x:c>
      <x:c r="B16" s="32" t="str">
        <x:v>INT-002-BOLT-004</x:v>
      </x:c>
      <x:c r="C16" s="32" t="str">
        <x:v>Crear permisos del sistema</x:v>
      </x:c>
      <x:c r="D16" s="32" t="str">
        <x:v>Autenticación</x:v>
      </x:c>
      <x:c r="E16" s="32" t="str">
        <x:v>Sí</x:v>
      </x:c>
      <x:c r="F16" s="32" t="str">
        <x:v>backend/database/seeders/PermissionsSeeder.php (23 permisos: 8 legacy + 15 curriculares)</x:v>
      </x:c>
      <x:c r="G16" s="32" t="str">
        <x:v>Sí</x:v>
      </x:c>
      <x:c r="H16" s="32" t="str">
        <x:v>backend/tests/Feature/GestionUsuariosTest.php</x:v>
      </x:c>
      <x:c r="I16" s="32" t="str">
        <x:v>Completado</x:v>
      </x:c>
      <x:c r="J16" s="32" t="str">
        <x:v>Alta</x:v>
      </x:c>
      <x:c r="K16" s="32" t="str">
        <x:v>Ernesto Marcial Constantino Chuchon Sotelo</x:v>
      </x:c>
      <x:c r="L16" s="32" t="str">
        <x:v>Backend</x:v>
      </x:c>
      <x:c r="M16" s="32" t="str">
        <x:v>Bajo</x:v>
      </x:c>
      <x:c r="N16" s="32" t="str">
        <x:v>23 permisos registrados incluyendo ver_dashboard, gestionar_estudiantes, procesar_riesgo, gestionar_malla_curricular, etc.</x:v>
      </x:c>
      <x:c r="O16" s="110" t="str">
        <x:v>2026-04-23</x:v>
      </x:c>
      <x:c r="P16" s="110" t="str">
        <x:v>2026-04-23</x:v>
      </x:c>
    </x:row>
    <x:row r="17">
      <x:c r="A17" s="40" t="str">
        <x:v>INT-002 Autenticación, usuarios y roles</x:v>
      </x:c>
      <x:c r="B17" s="32" t="str">
        <x:v>INT-002-BOLT-005</x:v>
      </x:c>
      <x:c r="C17" s="32" t="str">
        <x:v>Asignar permisos por rol</x:v>
      </x:c>
      <x:c r="D17" s="32" t="str">
        <x:v>Autenticación</x:v>
      </x:c>
      <x:c r="E17" s="32" t="str">
        <x:v>Sí</x:v>
      </x:c>
      <x:c r="F17" s="32" t="str">
        <x:v>backend/database/seeders/PermissionsSeeder.php (rolePermissionMap con syncPermissions)</x:v>
      </x:c>
      <x:c r="G17" s="32" t="str">
        <x:v>Sí</x:v>
      </x:c>
      <x:c r="H17" s="32" t="str">
        <x:v>backend/tests/Feature/GestionUsuariosTest.php</x:v>
      </x:c>
      <x:c r="I17" s="32" t="str">
        <x:v>Completado</x:v>
      </x:c>
      <x:c r="J17" s="32" t="str">
        <x:v>Alta</x:v>
      </x:c>
      <x:c r="K17" s="32" t="str">
        <x:v>Ernesto Marcial Constantino Chuchon Sotelo</x:v>
      </x:c>
      <x:c r="L17" s="32" t="str">
        <x:v>Backend</x:v>
      </x:c>
      <x:c r="M17" s="32" t="str">
        <x:v>Bajo</x:v>
      </x:c>
      <x:c r="N17" s="32" t="str">
        <x:v>Mapa de permisos por rol definido y sincronizado via Spatie</x:v>
      </x:c>
      <x:c r="O17" s="110" t="str">
        <x:v>2026-04-23</x:v>
      </x:c>
      <x:c r="P17" s="110" t="str">
        <x:v>2026-04-23</x:v>
      </x:c>
    </x:row>
    <x:row r="18">
      <x:c r="A18" s="40" t="str">
        <x:v>INT-002 Autenticación, usuarios y roles</x:v>
      </x:c>
      <x:c r="B18" s="32" t="str">
        <x:v>INT-002-BOLT-006</x:v>
      </x:c>
      <x:c r="C18" s="32" t="str">
        <x:v>Restringir rutas según permisos</x:v>
      </x:c>
      <x:c r="D18" s="32" t="str">
        <x:v>Autenticación</x:v>
      </x:c>
      <x:c r="E18" s="32" t="str">
        <x:v>Sí</x:v>
      </x:c>
      <x:c r="F18" s="32" t="str">
        <x:v>backend/routes/api.php (middleware permission: en todas las rutas protegidas)</x:v>
      </x:c>
      <x:c r="G18" s="32" t="str">
        <x:v>Sí</x:v>
      </x:c>
      <x:c r="H18" s="32" t="str">
        <x:v>backend/tests/Feature/GestionUsuariosTest.php, backend/tests/Feature/Curricular/CurricularApiTest.php</x:v>
      </x:c>
      <x:c r="I18" s="32" t="str">
        <x:v>Completado</x:v>
      </x:c>
      <x:c r="J18" s="32" t="str">
        <x:v>Alta</x:v>
      </x:c>
      <x:c r="K18" s="32" t="str">
        <x:v>Ernesto Marcial Constantino Chuchon Sotelo</x:v>
      </x:c>
      <x:c r="L18" s="32" t="str">
        <x:v>Backend</x:v>
      </x:c>
      <x:c r="M18" s="32" t="str">
        <x:v>Bajo</x:v>
      </x:c>
      <x:c r="N18" s="32" t="str">
        <x:v>Todas las rutas API protegidas con middleware auth:sanctum + permission</x:v>
      </x:c>
      <x:c r="O18" s="110" t="str">
        <x:v>2026-04-23</x:v>
      </x:c>
      <x:c r="P18" s="110" t="str">
        <x:v>2026-05-05</x:v>
      </x:c>
    </x:row>
    <x:row r="19">
      <x:c r="A19" s="40" t="str">
        <x:v>INT-002 Autenticación, usuarios y roles</x:v>
      </x:c>
      <x:c r="B19" s="32" t="str">
        <x:v>INT-002-BOLT-007</x:v>
      </x:c>
      <x:c r="C19" s="32" t="str">
        <x:v>Crear endpoint GET /api/me para obtener usuario y permisos</x:v>
      </x:c>
      <x:c r="D19" s="32" t="str">
        <x:v>Autenticación</x:v>
      </x:c>
      <x:c r="E19" s="32" t="str">
        <x:v>Sí</x:v>
      </x:c>
      <x:c r="F19" s="32" t="str">
        <x:v>backend/routes/api.php línea 41-49 (GET /api/me devuelve usuario, roles, permisos)</x:v>
      </x:c>
      <x:c r="G19" s="32" t="str">
        <x:v>No</x:v>
      </x:c>
      <x:c r="H19" s="32" t="str">
        <x:v>Pendiente de adjuntar</x:v>
      </x:c>
      <x:c r="I19" s="32" t="str">
        <x:v>Observado</x:v>
      </x:c>
      <x:c r="J19" s="32" t="str">
        <x:v>Alta</x:v>
      </x:c>
      <x:c r="K19" s="32" t="str">
        <x:v>Ernesto Marcial Constantino Chuchon Sotelo</x:v>
      </x:c>
      <x:c r="L19" s="32" t="str">
        <x:v>Backend</x:v>
      </x:c>
      <x:c r="M19" s="32" t="str">
        <x:v>Bajo</x:v>
      </x:c>
      <x:c r="N19" s="32" t="str">
        <x:v>Endpoint /api/me devuelve usuario, roles y permisos como JSON Corrección QA: Está completado, pero no tiene evidencia de pruebas ejecutadas.</x:v>
      </x:c>
      <x:c r="O19" s="110" t="str">
        <x:v>2026-04-23</x:v>
      </x:c>
      <x:c r="P19" s="110" t="str">
        <x:v>2026-04-23</x:v>
      </x:c>
    </x:row>
    <x:row r="20">
      <x:c r="A20" s="40" t="str">
        <x:v>INT-002 Autenticación, usuarios y roles</x:v>
      </x:c>
      <x:c r="B20" s="32" t="str">
        <x:v>INT-002-BOLT-008</x:v>
      </x:c>
      <x:c r="C20" s="32" t="str">
        <x:v>Validar acceso por rol en frontend</x:v>
      </x:c>
      <x:c r="D20" s="32" t="str">
        <x:v>Frontend</x:v>
      </x:c>
      <x:c r="E20" s="32" t="str">
        <x:v>Sí</x:v>
      </x:c>
      <x:c r="F20" s="32" t="str">
        <x:v>frontend/src/context/AuthContext.jsx, frontend/src/App.jsx (verificación de permisos en rutas y componentes)</x:v>
      </x:c>
      <x:c r="G20" s="32" t="str">
        <x:v>No</x:v>
      </x:c>
      <x:c r="H20" s="32" t="str">
        <x:v>Pendiente de adjuntar</x:v>
      </x:c>
      <x:c r="I20" s="32" t="str">
        <x:v>En proceso</x:v>
      </x:c>
      <x:c r="J20" s="32" t="str">
        <x:v>Media</x:v>
      </x:c>
      <x:c r="K20" s="32" t="str">
        <x:v>Diego Ricardo Carhuamaca Vasquez</x:v>
      </x:c>
      <x:c r="L20" s="32" t="str">
        <x:v>Frontend</x:v>
      </x:c>
      <x:c r="M20" s="32" t="str">
        <x:v>Medio</x:v>
      </x:c>
      <x:c r="N20" s="32" t="str">
        <x:v>AuthContext implementado; validación de permisos en componentes por hasPermission; falta cobertura completa</x:v>
      </x:c>
      <x:c r="O20" s="110" t="str">
        <x:v>2026-05-01</x:v>
      </x:c>
      <x:c r="P20" s="110" t="str">
        <x:v>Pendiente</x:v>
      </x:c>
    </x:row>
    <x:row r="21">
      <x:c r="A21" s="40" t="str">
        <x:v>INT-002 Autenticación, usuarios y roles</x:v>
      </x:c>
      <x:c r="B21" s="32" t="str">
        <x:v>INT-002-BOLT-009</x:v>
      </x:c>
      <x:c r="C21" s="32" t="str">
        <x:v>Probar bloqueo de accesos no autorizados</x:v>
      </x:c>
      <x:c r="D21" s="32" t="str">
        <x:v>Pruebas</x:v>
      </x:c>
      <x:c r="E21" s="32" t="str">
        <x:v>Sí</x:v>
      </x:c>
      <x:c r="F21" s="32" t="str">
        <x:v>backend/tests/Feature/GestionUsuariosTest.php, backend/tests/Feature/Curricular/CurricularApiTest.php</x:v>
      </x:c>
      <x:c r="G21" s="32" t="str">
        <x:v>Sí</x:v>
      </x:c>
      <x:c r="H21" s="32" t="str">
        <x:v>php artisan test --filter=GestionUsuariosTest</x:v>
      </x:c>
      <x:c r="I21" s="32" t="str">
        <x:v>Completado</x:v>
      </x:c>
      <x:c r="J21" s="32" t="str">
        <x:v>Alta</x:v>
      </x:c>
      <x:c r="K21" s="32" t="str">
        <x:v>Ernesto Marcial Constantino Chuchon Sotelo</x:v>
      </x:c>
      <x:c r="L21" s="32" t="str">
        <x:v>Pruebas</x:v>
      </x:c>
      <x:c r="M21" s="32" t="str">
        <x:v>Bajo</x:v>
      </x:c>
      <x:c r="N21" s="32" t="str">
        <x:v>Tests verifican bloqueo de rutas sin permisos adecuados</x:v>
      </x:c>
      <x:c r="O21" s="110" t="str">
        <x:v>2026-05-05</x:v>
      </x:c>
      <x:c r="P21" s="110" t="str">
        <x:v>2026-05-10</x:v>
      </x:c>
    </x:row>
    <x:row r="22">
      <x:c r="A22" s="40" t="str">
        <x:v>INT-002 Autenticación, usuarios y roles</x:v>
      </x:c>
      <x:c r="B22" s="32" t="str">
        <x:v>INT-002-BOLT-010</x:v>
      </x:c>
      <x:c r="C22" s="32" t="str">
        <x:v>Implementar gestión CRUD de usuarios (crear, editar, activar/desactivar, restablecer contraseña)</x:v>
      </x:c>
      <x:c r="D22" s="32" t="str">
        <x:v>Usuarios</x:v>
      </x:c>
      <x:c r="E22" s="32" t="str">
        <x:v>Sí</x:v>
      </x:c>
      <x:c r="F22" s="32" t="str">
        <x:v>backend/app/Http/Controllers/Api/UsuarioController.php, backend/app/Services/UsuarioGestionService.php, frontend/src/components/usuarios/UsuariosPanel.jsx</x:v>
      </x:c>
      <x:c r="G22" s="32" t="str">
        <x:v>Sí</x:v>
      </x:c>
      <x:c r="H22" s="32" t="str">
        <x:v>backend/tests/Feature/GestionUsuariosTest.php</x:v>
      </x:c>
      <x:c r="I22" s="32" t="str">
        <x:v>Completado</x:v>
      </x:c>
      <x:c r="J22" s="32" t="str">
        <x:v>Alta</x:v>
      </x:c>
      <x:c r="K22" s="32" t="str">
        <x:v>Ernesto Marcial Constantino Chuchon Sotelo</x:v>
      </x:c>
      <x:c r="L22" s="32" t="str">
        <x:v>Backend</x:v>
      </x:c>
      <x:c r="M22" s="32" t="str">
        <x:v>Bajo</x:v>
      </x:c>
      <x:c r="N22" s="32" t="str">
        <x:v>CRUD completo de usuarios con activación/desactivación y restablecimiento de contraseña. Bolt adicional detectado en repo.</x:v>
      </x:c>
      <x:c r="O22" s="110" t="str">
        <x:v>2026-05-10</x:v>
      </x:c>
      <x:c r="P22" s="110" t="str">
        <x:v>2026-05-15</x:v>
      </x:c>
    </x:row>
    <x:row r="23">
      <x:c r="A23" s="40" t="str">
        <x:v>INT-002 Autenticación, usuarios y roles</x:v>
      </x:c>
      <x:c r="B23" s="32" t="str">
        <x:v>INT-002-BOLT-011</x:v>
      </x:c>
      <x:c r="C23" s="32" t="str">
        <x:v>Implementar middleware de usuario activo</x:v>
      </x:c>
      <x:c r="D23" s="32" t="str">
        <x:v>Backend</x:v>
      </x:c>
      <x:c r="E23" s="32" t="str">
        <x:v>Sí</x:v>
      </x:c>
      <x:c r="F23" s="32" t="str">
        <x:v>backend/app/Http/Middleware/EnsureUsuarioActivo.php</x:v>
      </x:c>
      <x:c r="G23" s="32" t="str">
        <x:v>Sí</x:v>
      </x:c>
      <x:c r="H23" s="32" t="str">
        <x:v>backend/tests/Feature/GestionUsuariosTest.php</x:v>
      </x:c>
      <x:c r="I23" s="32" t="str">
        <x:v>Completado</x:v>
      </x:c>
      <x:c r="J23" s="32" t="str">
        <x:v>Media</x:v>
      </x:c>
      <x:c r="K23" s="32" t="str">
        <x:v>Ernesto Marcial Constantino Chuchon Sotelo</x:v>
      </x:c>
      <x:c r="L23" s="32" t="str">
        <x:v>Seguridad</x:v>
      </x:c>
      <x:c r="M23" s="32" t="str">
        <x:v>Bajo</x:v>
      </x:c>
      <x:c r="N23" s="32" t="str">
        <x:v>Middleware que bloquea acceso de usuarios desactivados. Bolt adicional detectado en repo.</x:v>
      </x:c>
      <x:c r="O23" s="110" t="str">
        <x:v>2026-05-30</x:v>
      </x:c>
      <x:c r="P23" s="110" t="str">
        <x:v>2026-05-30</x:v>
      </x:c>
    </x:row>
    <x:row r="24">
      <x:c r="A24" s="44" t="str">
        <x:v>INT-003 Gestión de estudiantes</x:v>
      </x:c>
      <x:c r="B24" s="32" t="str">
        <x:v>INT-003-BOLT-001</x:v>
      </x:c>
      <x:c r="C24" s="32" t="str">
        <x:v>Crear modelo y migración de estudiantes</x:v>
      </x:c>
      <x:c r="D24" s="32" t="str">
        <x:v>Estudiantes</x:v>
      </x:c>
      <x:c r="E24" s="32" t="str">
        <x:v>Sí</x:v>
      </x:c>
      <x:c r="F24" s="32" t="str">
        <x:v>backend/app/Models/Estudiante.php, backend/database/migrations/2026_04_23_024107_create_estudiantes_table.php, backend/database/factories/EstudianteFactory.php</x:v>
      </x:c>
      <x:c r="G24" s="32" t="str">
        <x:v>Sí</x:v>
      </x:c>
      <x:c r="H24" s="32" t="str">
        <x:v>backend/tests/Feature/EstudianteTest.php</x:v>
      </x:c>
      <x:c r="I24" s="32" t="str">
        <x:v>Completado</x:v>
      </x:c>
      <x:c r="J24" s="32" t="str">
        <x:v>Alta</x:v>
      </x:c>
      <x:c r="K24" s="32" t="str">
        <x:v>Ernesto Marcial Constantino Chuchon Sotelo</x:v>
      </x:c>
      <x:c r="L24" s="32" t="str">
        <x:v>Base de datos</x:v>
      </x:c>
      <x:c r="M24" s="32" t="str">
        <x:v>Bajo</x:v>
      </x:c>
      <x:c r="N24" s="32" t="str">
        <x:v>Modelo con fillable: codigo, nombres, apellidos, fecha_nacimiento, sexo, grado, seccion, nivel, sede, anio_escolar, activo</x:v>
      </x:c>
      <x:c r="O24" s="110" t="str">
        <x:v>2026-04-23</x:v>
      </x:c>
      <x:c r="P24" s="110" t="str">
        <x:v>2026-04-23</x:v>
      </x:c>
    </x:row>
    <x:row r="25">
      <x:c r="A25" s="44" t="str">
        <x:v>INT-003 Gestión de estudiantes</x:v>
      </x:c>
      <x:c r="B25" s="32" t="str">
        <x:v>INT-003-BOLT-002</x:v>
      </x:c>
      <x:c r="C25" s="32" t="str">
        <x:v>Implementar listado de estudiantes</x:v>
      </x:c>
      <x:c r="D25" s="32" t="str">
        <x:v>Estudiantes</x:v>
      </x:c>
      <x:c r="E25" s="32" t="str">
        <x:v>Sí</x:v>
      </x:c>
      <x:c r="F25" s="32" t="str">
        <x:v>backend/app/Http/Controllers/Api/EstudianteController.php (index), frontend/src/components/estudiantes/EstudiantesPanel.jsx</x:v>
      </x:c>
      <x:c r="G25" s="32" t="str">
        <x:v>Sí</x:v>
      </x:c>
      <x:c r="H25" s="32" t="str">
        <x:v>backend/tests/Feature/EstudianteTest.php</x:v>
      </x:c>
      <x:c r="I25" s="32" t="str">
        <x:v>Completado</x:v>
      </x:c>
      <x:c r="J25" s="32" t="str">
        <x:v>Alta</x:v>
      </x:c>
      <x:c r="K25" s="32" t="str">
        <x:v>Diego Ricardo Carhuamaca Vasquez</x:v>
      </x:c>
      <x:c r="L25" s="32" t="str">
        <x:v>Backend</x:v>
      </x:c>
      <x:c r="M25" s="32" t="str">
        <x:v>Bajo</x:v>
      </x:c>
      <x:c r="N25" s="32" t="str">
        <x:v>Listado con filtros y paginación en API; panel React con búsqueda</x:v>
      </x:c>
      <x:c r="O25" s="110" t="str">
        <x:v>2026-04-23</x:v>
      </x:c>
      <x:c r="P25" s="110" t="str">
        <x:v>2026-04-25</x:v>
      </x:c>
    </x:row>
    <x:row r="26">
      <x:c r="A26" s="44" t="str">
        <x:v>INT-003 Gestión de estudiantes</x:v>
      </x:c>
      <x:c r="B26" s="32" t="str">
        <x:v>INT-003-BOLT-003</x:v>
      </x:c>
      <x:c r="C26" s="32" t="str">
        <x:v>Implementar registro de estudiante</x:v>
      </x:c>
      <x:c r="D26" s="32" t="str">
        <x:v>Estudiantes</x:v>
      </x:c>
      <x:c r="E26" s="32" t="str">
        <x:v>Sí</x:v>
      </x:c>
      <x:c r="F26" s="32" t="str">
        <x:v>backend/app/Http/Controllers/Api/EstudianteController.php (store), backend/app/Http/Requests/StoreEstudianteRequest.php</x:v>
      </x:c>
      <x:c r="G26" s="32" t="str">
        <x:v>Sí</x:v>
      </x:c>
      <x:c r="H26" s="32" t="str">
        <x:v>backend/tests/Feature/EstudianteTest.php</x:v>
      </x:c>
      <x:c r="I26" s="32" t="str">
        <x:v>Completado</x:v>
      </x:c>
      <x:c r="J26" s="32" t="str">
        <x:v>Alta</x:v>
      </x:c>
      <x:c r="K26" s="32" t="str">
        <x:v>Diego Ricardo Carhuamaca Vasquez</x:v>
      </x:c>
      <x:c r="L26" s="32" t="str">
        <x:v>Backend</x:v>
      </x:c>
      <x:c r="M26" s="32" t="str">
        <x:v>Bajo</x:v>
      </x:c>
      <x:c r="N26" s="32" t="str">
        <x:v>Endpoint POST /api/estudiantes con validación de request</x:v>
      </x:c>
      <x:c r="O26" s="110" t="str">
        <x:v>2026-04-23</x:v>
      </x:c>
      <x:c r="P26" s="110" t="str">
        <x:v>2026-04-25</x:v>
      </x:c>
    </x:row>
    <x:row r="27">
      <x:c r="A27" s="44" t="str">
        <x:v>INT-003 Gestión de estudiantes</x:v>
      </x:c>
      <x:c r="B27" s="32" t="str">
        <x:v>INT-003-BOLT-004</x:v>
      </x:c>
      <x:c r="C27" s="32" t="str">
        <x:v>Implementar edición de estudiante</x:v>
      </x:c>
      <x:c r="D27" s="32" t="str">
        <x:v>Estudiantes</x:v>
      </x:c>
      <x:c r="E27" s="32" t="str">
        <x:v>Sí</x:v>
      </x:c>
      <x:c r="F27" s="32" t="str">
        <x:v>backend/app/Http/Controllers/Api/EstudianteController.php (update), backend/app/Http/Requests/UpdateEstudianteRequest.php</x:v>
      </x:c>
      <x:c r="G27" s="32" t="str">
        <x:v>Sí</x:v>
      </x:c>
      <x:c r="H27" s="32" t="str">
        <x:v>backend/tests/Feature/EstudianteTest.php</x:v>
      </x:c>
      <x:c r="I27" s="32" t="str">
        <x:v>Completado</x:v>
      </x:c>
      <x:c r="J27" s="32" t="str">
        <x:v>Alta</x:v>
      </x:c>
      <x:c r="K27" s="32" t="str">
        <x:v>Diego Ricardo Carhuamaca Vasquez</x:v>
      </x:c>
      <x:c r="L27" s="32" t="str">
        <x:v>Backend</x:v>
      </x:c>
      <x:c r="M27" s="32" t="str">
        <x:v>Bajo</x:v>
      </x:c>
      <x:c r="N27" s="32" t="str">
        <x:v>Endpoint PUT/PATCH /api/estudiantes/{id} con validación</x:v>
      </x:c>
      <x:c r="O27" s="110" t="str">
        <x:v>2026-04-23</x:v>
      </x:c>
      <x:c r="P27" s="110" t="str">
        <x:v>2026-04-25</x:v>
      </x:c>
    </x:row>
    <x:row r="28">
      <x:c r="A28" s="44" t="str">
        <x:v>INT-003 Gestión de estudiantes</x:v>
      </x:c>
      <x:c r="B28" s="32" t="str">
        <x:v>INT-003-BOLT-005</x:v>
      </x:c>
      <x:c r="C28" s="32" t="str">
        <x:v>Implementar perfil académico del estudiante</x:v>
      </x:c>
      <x:c r="D28" s="32" t="str">
        <x:v>Estudiantes</x:v>
      </x:c>
      <x:c r="E28" s="32" t="str">
        <x:v>Sí</x:v>
      </x:c>
      <x:c r="F28" s="32" t="str">
        <x:v>frontend/src/components/estudiantes/EstudiantePerfilDatos.jsx, frontend/src/components/estudiantes/EstudiantePerfilRiesgo.jsx, frontend/src/components/curricular/ResumenAcademicoEstudiante.jsx</x:v>
      </x:c>
      <x:c r="G28" s="32" t="str">
        <x:v>No</x:v>
      </x:c>
      <x:c r="H28" s="32" t="str">
        <x:v>Pendiente de adjuntar</x:v>
      </x:c>
      <x:c r="I28" s="32" t="str">
        <x:v>En proceso</x:v>
      </x:c>
      <x:c r="J28" s="32" t="str">
        <x:v>Alta</x:v>
      </x:c>
      <x:c r="K28" s="32" t="str">
        <x:v>Diego Ricardo Carhuamaca Vasquez</x:v>
      </x:c>
      <x:c r="L28" s="32" t="str">
        <x:v>Frontend</x:v>
      </x:c>
      <x:c r="M28" s="32" t="str">
        <x:v>Medio</x:v>
      </x:c>
      <x:c r="N28" s="32" t="str">
        <x:v>Perfil con datos personales, riesgo y resumen académico curricular; falta integrar ETA y reportes conductuales</x:v>
      </x:c>
      <x:c r="O28" s="110" t="str">
        <x:v>2026-05-01</x:v>
      </x:c>
      <x:c r="P28" s="110" t="str">
        <x:v>Pendiente</x:v>
      </x:c>
    </x:row>
    <x:row r="29">
      <x:c r="A29" s="44" t="str">
        <x:v>INT-003 Gestión de estudiantes</x:v>
      </x:c>
      <x:c r="B29" s="32" t="str">
        <x:v>INT-003-BOLT-006</x:v>
      </x:c>
      <x:c r="C29" s="32" t="str">
        <x:v>Asociar estudiante con nivel, grado y sección</x:v>
      </x:c>
      <x:c r="D29" s="32" t="str">
        <x:v>Estudiantes</x:v>
      </x:c>
      <x:c r="E29" s="32" t="str">
        <x:v>Sí</x:v>
      </x:c>
      <x:c r="F29" s="32" t="str">
        <x:v>backend/app/Models/Estudiante.php (campos nivel, grado, seccion), backend/database/migrations/2026_05_27_100000_add_inicial_to_estudiantes_nivel_enum.php</x:v>
      </x:c>
      <x:c r="G29" s="32" t="str">
        <x:v>Sí</x:v>
      </x:c>
      <x:c r="H29" s="32" t="str">
        <x:v>backend/tests/Feature/EstudianteTest.php, backend/tests/Feature/EstudianteInicialTest.php</x:v>
      </x:c>
      <x:c r="I29" s="32" t="str">
        <x:v>Completado</x:v>
      </x:c>
      <x:c r="J29" s="32" t="str">
        <x:v>Alta</x:v>
      </x:c>
      <x:c r="K29" s="32" t="str">
        <x:v>Ernesto Marcial Constantino Chuchon Sotelo</x:v>
      </x:c>
      <x:c r="L29" s="32" t="str">
        <x:v>Backend</x:v>
      </x:c>
      <x:c r="M29" s="32" t="str">
        <x:v>Bajo</x:v>
      </x:c>
      <x:c r="N29" s="32" t="str">
        <x:v>Estudiante con nivel (inicial/primaria/secundaria), grado y sección; migración para agregar nivel Inicial</x:v>
      </x:c>
      <x:c r="O29" s="110" t="str">
        <x:v>2026-04-23</x:v>
      </x:c>
      <x:c r="P29" s="110" t="str">
        <x:v>2026-05-27</x:v>
      </x:c>
    </x:row>
    <x:row r="30">
      <x:c r="A30" s="44" t="str">
        <x:v>INT-003 Gestión de estudiantes</x:v>
      </x:c>
      <x:c r="B30" s="32" t="str">
        <x:v>INT-003-BOLT-007</x:v>
      </x:c>
      <x:c r="C30" s="32" t="str">
        <x:v>Asociar estudiante con apoderado o datos familiares</x:v>
      </x:c>
      <x:c r="D30" s="32" t="str">
        <x:v>Estudiantes</x:v>
      </x:c>
      <x:c r="E30" s="32" t="str">
        <x:v>No</x:v>
      </x:c>
      <x:c r="F30" s="32" t="str">
        <x:v>No se encontró evidencia en el repositorio</x:v>
      </x:c>
      <x:c r="G30" s="32" t="str">
        <x:v>No</x:v>
      </x:c>
      <x:c r="H30" s="32" t="str">
        <x:v>No aplica</x:v>
      </x:c>
      <x:c r="I30" s="32" t="str">
        <x:v>Pendiente</x:v>
      </x:c>
      <x:c r="J30" s="32" t="str">
        <x:v>Media</x:v>
      </x:c>
      <x:c r="K30" s="32" t="str">
        <x:v>Diego Ricardo Carhuamaca Vasquez</x:v>
      </x:c>
      <x:c r="L30" s="32" t="str">
        <x:v>Backend</x:v>
      </x:c>
      <x:c r="M30" s="32" t="str">
        <x:v>Medio</x:v>
      </x:c>
      <x:c r="N30" s="32" t="str">
        <x:v>No existe modelo de apoderado independiente. Datos familiares parcialmente en VariableSocioeconomica (composicion_familiar)</x:v>
      </x:c>
      <x:c r="O30" s="110" t="str">
        <x:v>2026-07-15</x:v>
      </x:c>
      <x:c r="P30" s="110" t="str">
        <x:v>Pendiente</x:v>
      </x:c>
    </x:row>
    <x:row r="31">
      <x:c r="A31" s="44" t="str">
        <x:v>INT-003 Gestión de estudiantes</x:v>
      </x:c>
      <x:c r="B31" s="32" t="str">
        <x:v>INT-003-BOLT-008</x:v>
      </x:c>
      <x:c r="C31" s="32" t="str">
        <x:v>Validar que el estudiante no se duplique</x:v>
      </x:c>
      <x:c r="D31" s="32" t="str">
        <x:v>Estudiantes</x:v>
      </x:c>
      <x:c r="E31" s="32" t="str">
        <x:v>Sí</x:v>
      </x:c>
      <x:c r="F31" s="32" t="str">
        <x:v>backend/app/Http/Requests/StoreEstudianteRequest.php (validación unique en codigo)</x:v>
      </x:c>
      <x:c r="G31" s="32" t="str">
        <x:v>Sí</x:v>
      </x:c>
      <x:c r="H31" s="32" t="str">
        <x:v>backend/tests/Feature/EstudianteTest.php</x:v>
      </x:c>
      <x:c r="I31" s="32" t="str">
        <x:v>Completado</x:v>
      </x:c>
      <x:c r="J31" s="32" t="str">
        <x:v>Media</x:v>
      </x:c>
      <x:c r="K31" s="32" t="str">
        <x:v>Ernesto Marcial Constantino Chuchon Sotelo</x:v>
      </x:c>
      <x:c r="L31" s="32" t="str">
        <x:v>Backend</x:v>
      </x:c>
      <x:c r="M31" s="32" t="str">
        <x:v>Bajo</x:v>
      </x:c>
      <x:c r="N31" s="32" t="str">
        <x:v>Validación unique en campo código de estudiante</x:v>
      </x:c>
      <x:c r="O31" s="110" t="str">
        <x:v>2026-04-25</x:v>
      </x:c>
      <x:c r="P31" s="110" t="str">
        <x:v>2026-04-25</x:v>
      </x:c>
    </x:row>
    <x:row r="32">
      <x:c r="A32" s="44" t="str">
        <x:v>INT-003 Gestión de estudiantes</x:v>
      </x:c>
      <x:c r="B32" s="32" t="str">
        <x:v>INT-003-BOLT-009</x:v>
      </x:c>
      <x:c r="C32" s="32" t="str">
        <x:v>Probar flujo de gestión de estudiantes</x:v>
      </x:c>
      <x:c r="D32" s="32" t="str">
        <x:v>Pruebas</x:v>
      </x:c>
      <x:c r="E32" s="32" t="str">
        <x:v>Sí</x:v>
      </x:c>
      <x:c r="F32" s="32" t="str">
        <x:v>backend/tests/Feature/EstudianteTest.php, backend/tests/Feature/EstudianteInicialTest.php</x:v>
      </x:c>
      <x:c r="G32" s="32" t="str">
        <x:v>Sí</x:v>
      </x:c>
      <x:c r="H32" s="32" t="str">
        <x:v>php artisan test --filter=EstudianteTest</x:v>
      </x:c>
      <x:c r="I32" s="32" t="str">
        <x:v>Completado</x:v>
      </x:c>
      <x:c r="J32" s="32" t="str">
        <x:v>Alta</x:v>
      </x:c>
      <x:c r="K32" s="32" t="str">
        <x:v>Equipo SIDERAE</x:v>
      </x:c>
      <x:c r="L32" s="32" t="str">
        <x:v>Pruebas</x:v>
      </x:c>
      <x:c r="M32" s="32" t="str">
        <x:v>Bajo</x:v>
      </x:c>
      <x:c r="N32" s="32" t="str">
        <x:v>Tests de CRUD de estudiantes y tests específicos para nivel Inicial</x:v>
      </x:c>
      <x:c r="O32" s="110" t="str">
        <x:v>2026-04-25</x:v>
      </x:c>
      <x:c r="P32" s="110" t="str">
        <x:v>2026-05-27</x:v>
      </x:c>
    </x:row>
    <x:row r="33">
      <x:c r="A33" s="44" t="str">
        <x:v>INT-003 Gestión de estudiantes</x:v>
      </x:c>
      <x:c r="B33" s="32" t="str">
        <x:v>INT-003-BOLT-010</x:v>
      </x:c>
      <x:c r="C33" s="32" t="str">
        <x:v>Gestionar secciones y aulas del sistema</x:v>
      </x:c>
      <x:c r="D33" s="32" t="str">
        <x:v>Estudiantes / Curricular</x:v>
      </x:c>
      <x:c r="E33" s="32" t="str">
        <x:v>Sí</x:v>
      </x:c>
      <x:c r="F33" s="32" t="str">
        <x:v>backend/database/migrations/2026_05_31_100000_create_secciones_aulas_table.php, backend/app/Models/Curricular/SeccionAula.php, backend/app/Services/Curricular/SeccionAulaService.php, backend/app/Http/Controllers/Api/Curricular/SeccionAulaController.php, frontend/src/components/curricular/SeccionesAulasPanel.jsx</x:v>
      </x:c>
      <x:c r="G33" s="32" t="str">
        <x:v>Sí</x:v>
      </x:c>
      <x:c r="H33" s="32" t="str">
        <x:v>backend/tests/Feature/Curricular/SeccionesAulasTest.php</x:v>
      </x:c>
      <x:c r="I33" s="32" t="str">
        <x:v>Completado</x:v>
      </x:c>
      <x:c r="J33" s="32" t="str">
        <x:v>Alta</x:v>
      </x:c>
      <x:c r="K33" s="32" t="str">
        <x:v>Ernesto Marcial Constantino Chuchon Sotelo</x:v>
      </x:c>
      <x:c r="L33" s="32" t="str">
        <x:v>Backend</x:v>
      </x:c>
      <x:c r="M33" s="32" t="str">
        <x:v>Bajo</x:v>
      </x:c>
      <x:c r="N33" s="32" t="str">
        <x:v>CRUD de secciones-aulas con API y panel frontend. Bolt adicional detectado en repo.</x:v>
      </x:c>
      <x:c r="O33" s="110" t="str">
        <x:v>2026-05-31</x:v>
      </x:c>
      <x:c r="P33" s="110" t="str">
        <x:v>2026-05-31</x:v>
      </x:c>
    </x:row>
    <x:row r="34">
      <x:c r="A34" s="48" t="str">
        <x:v>INT-004 Configuración académica por nivel y grado</x:v>
      </x:c>
      <x:c r="B34" s="32" t="str">
        <x:v>INT-004-BOLT-001</x:v>
      </x:c>
      <x:c r="C34" s="32" t="str">
        <x:v>Crear estructura de niveles educativos</x:v>
      </x:c>
      <x:c r="D34" s="32" t="str">
        <x:v>Curricular</x:v>
      </x:c>
      <x:c r="E34" s="32" t="str">
        <x:v>Sí</x:v>
      </x:c>
      <x:c r="F34" s="32" t="str">
        <x:v>backend/database/migrations/2026_05_23_120000_create_curricular_module_tables.php, backend/app/Models/Curricular/PlantillaCurricular.php, backend/app/Services/Curricular/CatalogoNivelGrado.php, backend/app/Models/Curricular/EquivalenciaGrado.php</x:v>
      </x:c>
      <x:c r="G34" s="32" t="str">
        <x:v>Sí</x:v>
      </x:c>
      <x:c r="H34" s="32" t="str">
        <x:v>backend/tests/Feature/Curricular/CurricularApiTest.php</x:v>
      </x:c>
      <x:c r="I34" s="32" t="str">
        <x:v>Completado</x:v>
      </x:c>
      <x:c r="J34" s="32" t="str">
        <x:v>Alta</x:v>
      </x:c>
      <x:c r="K34" s="32" t="str">
        <x:v>Ernesto Marcial Constantino Chuchon Sotelo</x:v>
      </x:c>
      <x:c r="L34" s="32" t="str">
        <x:v>Base de datos</x:v>
      </x:c>
      <x:c r="M34" s="32" t="str">
        <x:v>Bajo</x:v>
      </x:c>
      <x:c r="N34" s="32" t="str">
        <x:v>Migración crea tablas: plantillas_curriculares, areas, competencias, capacidades, malla_curricular, malla_cursos, etc.</x:v>
      </x:c>
      <x:c r="O34" s="110" t="str">
        <x:v>2026-05-23</x:v>
      </x:c>
      <x:c r="P34" s="110" t="str">
        <x:v>2026-05-23</x:v>
      </x:c>
    </x:row>
    <x:row r="35">
      <x:c r="A35" s="48" t="str">
        <x:v>INT-004 Configuración académica por nivel y grado</x:v>
      </x:c>
      <x:c r="B35" s="32" t="str">
        <x:v>INT-004-BOLT-002</x:v>
      </x:c>
      <x:c r="C35" s="32" t="str">
        <x:v>Registrar nivel Inicial, Primaria y Secundaria</x:v>
      </x:c>
      <x:c r="D35" s="32" t="str">
        <x:v>Curricular</x:v>
      </x:c>
      <x:c r="E35" s="32" t="str">
        <x:v>Sí</x:v>
      </x:c>
      <x:c r="F35" s="32" t="str">
        <x:v>backend/database/seeders/Curricular/PlantillasInstitucionalesSeeder.php, backend/database/seeders/Curricular/EquivalenciasGradoSeeder.php</x:v>
      </x:c>
      <x:c r="G35" s="32" t="str">
        <x:v>Sí</x:v>
      </x:c>
      <x:c r="H35" s="32" t="str">
        <x:v>backend/tests/Feature/Curricular/CurricularSeedersTest.php</x:v>
      </x:c>
      <x:c r="I35" s="32" t="str">
        <x:v>Completado</x:v>
      </x:c>
      <x:c r="J35" s="32" t="str">
        <x:v>Alta</x:v>
      </x:c>
      <x:c r="K35" s="32" t="str">
        <x:v>Ernesto Marcial Constantino Chuchon Sotelo</x:v>
      </x:c>
      <x:c r="L35" s="32" t="str">
        <x:v>Base de datos</x:v>
      </x:c>
      <x:c r="M35" s="32" t="str">
        <x:v>Bajo</x:v>
      </x:c>
      <x:c r="N35" s="32" t="str">
        <x:v>Seeders crean plantillas para Inicial, Primaria y Secundaria con equivalencias de grado</x:v>
      </x:c>
      <x:c r="O35" s="110" t="str">
        <x:v>2026-05-23</x:v>
      </x:c>
      <x:c r="P35" s="110" t="str">
        <x:v>2026-05-27</x:v>
      </x:c>
    </x:row>
    <x:row r="36">
      <x:c r="A36" s="48" t="str">
        <x:v>INT-004 Configuración académica por nivel y grado</x:v>
      </x:c>
      <x:c r="B36" s="32" t="str">
        <x:v>INT-004-BOLT-003</x:v>
      </x:c>
      <x:c r="C36" s="32" t="str">
        <x:v>Registrar grados por nivel</x:v>
      </x:c>
      <x:c r="D36" s="32" t="str">
        <x:v>Curricular</x:v>
      </x:c>
      <x:c r="E36" s="32" t="str">
        <x:v>Sí</x:v>
      </x:c>
      <x:c r="F36" s="32" t="str">
        <x:v>backend/database/seeders/Curricular/EquivalenciasGradoSeeder.php, backend/app/Services/Curricular/EquivalenciaGradoService.php, backend/database/migrations/2026_05_27_100001_add_inicial_to_equivalencias_grado_nivel_enum.php</x:v>
      </x:c>
      <x:c r="G36" s="32" t="str">
        <x:v>Sí</x:v>
      </x:c>
      <x:c r="H36" s="32" t="str">
        <x:v>backend/tests/Unit/Curricular/EquivalenciaGradoServiceTest.php</x:v>
      </x:c>
      <x:c r="I36" s="32" t="str">
        <x:v>Completado</x:v>
      </x:c>
      <x:c r="J36" s="32" t="str">
        <x:v>Alta</x:v>
      </x:c>
      <x:c r="K36" s="32" t="str">
        <x:v>Ernesto Marcial Constantino Chuchon Sotelo</x:v>
      </x:c>
      <x:c r="L36" s="32" t="str">
        <x:v>Base de datos</x:v>
      </x:c>
      <x:c r="M36" s="32" t="str">
        <x:v>Bajo</x:v>
      </x:c>
      <x:c r="N36" s="32" t="str">
        <x:v>Equivalencias de grado por nivel incluyendo Inicial 3-5 años, Primaria 1°-6°, Secundaria 1°-5°</x:v>
      </x:c>
      <x:c r="O36" s="110" t="str">
        <x:v>2026-05-23</x:v>
      </x:c>
      <x:c r="P36" s="110" t="str">
        <x:v>2026-05-27</x:v>
      </x:c>
    </x:row>
    <x:row r="37">
      <x:c r="A37" s="48" t="str">
        <x:v>INT-004 Configuración académica por nivel y grado</x:v>
      </x:c>
      <x:c r="B37" s="32" t="str">
        <x:v>INT-004-BOLT-004</x:v>
      </x:c>
      <x:c r="C37" s="32" t="str">
        <x:v>Registrar áreas académicas</x:v>
      </x:c>
      <x:c r="D37" s="32" t="str">
        <x:v>Curricular</x:v>
      </x:c>
      <x:c r="E37" s="32" t="str">
        <x:v>Sí</x:v>
      </x:c>
      <x:c r="F37" s="32" t="str">
        <x:v>backend/app/Models/Curricular/Area.php, backend/database/seeders/Curricular/CurriculoNacionalBaseSeeder.php, backend/database/seeders/Curricular/CurriculoNacionalOficial.php</x:v>
      </x:c>
      <x:c r="G37" s="32" t="str">
        <x:v>Sí</x:v>
      </x:c>
      <x:c r="H37" s="32" t="str">
        <x:v>backend/tests/Feature/Curricular/CurricularApiTest.php</x:v>
      </x:c>
      <x:c r="I37" s="32" t="str">
        <x:v>Completado</x:v>
      </x:c>
      <x:c r="J37" s="32" t="str">
        <x:v>Alta</x:v>
      </x:c>
      <x:c r="K37" s="32" t="str">
        <x:v>Ernesto Marcial Constantino Chuchon Sotelo</x:v>
      </x:c>
      <x:c r="L37" s="32" t="str">
        <x:v>Base de datos</x:v>
      </x:c>
      <x:c r="M37" s="32" t="str">
        <x:v>Bajo</x:v>
      </x:c>
      <x:c r="N37" s="32" t="str">
        <x:v>Áreas registradas según Currículo Nacional con seeders base y oficial</x:v>
      </x:c>
      <x:c r="O37" s="110" t="str">
        <x:v>2026-05-23</x:v>
      </x:c>
      <x:c r="P37" s="110" t="str">
        <x:v>2026-05-23</x:v>
      </x:c>
    </x:row>
    <x:row r="38">
      <x:c r="A38" s="48" t="str">
        <x:v>INT-004 Configuración académica por nivel y grado</x:v>
      </x:c>
      <x:c r="B38" s="32" t="str">
        <x:v>INT-004-BOLT-005</x:v>
      </x:c>
      <x:c r="C38" s="32" t="str">
        <x:v>Registrar cursos por nivel y grado</x:v>
      </x:c>
      <x:c r="D38" s="32" t="str">
        <x:v>Curricular</x:v>
      </x:c>
      <x:c r="E38" s="32" t="str">
        <x:v>Sí</x:v>
      </x:c>
      <x:c r="F38" s="32" t="str">
        <x:v>backend/app/Models/Curricular/CursoCatalogo.php, backend/app/Models/Curricular/MallaCurso.php, backend/app/Models/Curricular/MallaCurricular.php, backend/database/seeders/Curricular/CatalogoInstitucionalBlenkir.php</x:v>
      </x:c>
      <x:c r="G38" s="32" t="str">
        <x:v>Sí</x:v>
      </x:c>
      <x:c r="H38" s="32" t="str">
        <x:v>backend/tests/Feature/Curricular/CurricularApiTest.php</x:v>
      </x:c>
      <x:c r="I38" s="32" t="str">
        <x:v>Completado</x:v>
      </x:c>
      <x:c r="J38" s="32" t="str">
        <x:v>Alta</x:v>
      </x:c>
      <x:c r="K38" s="32" t="str">
        <x:v>Ernesto Marcial Constantino Chuchon Sotelo</x:v>
      </x:c>
      <x:c r="L38" s="32" t="str">
        <x:v>Backend</x:v>
      </x:c>
      <x:c r="M38" s="32" t="str">
        <x:v>Bajo</x:v>
      </x:c>
      <x:c r="N38" s="32" t="str">
        <x:v>Catálogo institucional Blenkir con cursos por nivel; mallas curriculares por grado</x:v>
      </x:c>
      <x:c r="O38" s="110" t="str">
        <x:v>2026-05-23</x:v>
      </x:c>
      <x:c r="P38" s="110" t="str">
        <x:v>2026-05-24</x:v>
      </x:c>
    </x:row>
    <x:row r="39">
      <x:c r="A39" s="48" t="str">
        <x:v>INT-004 Configuración académica por nivel y grado</x:v>
      </x:c>
      <x:c r="B39" s="32" t="str">
        <x:v>INT-004-BOLT-006</x:v>
      </x:c>
      <x:c r="C39" s="32" t="str">
        <x:v>Registrar competencias por curso</x:v>
      </x:c>
      <x:c r="D39" s="32" t="str">
        <x:v>Curricular</x:v>
      </x:c>
      <x:c r="E39" s="32" t="str">
        <x:v>Sí</x:v>
      </x:c>
      <x:c r="F39" s="32" t="str">
        <x:v>backend/app/Models/Curricular/Competencia.php, backend/app/Services/Curricular/CompetenciaCapacidadService.php, backend/app/Http/Controllers/Api/Curricular/CompetenciaCapacidadController.php</x:v>
      </x:c>
      <x:c r="G39" s="32" t="str">
        <x:v>Sí</x:v>
      </x:c>
      <x:c r="H39" s="32" t="str">
        <x:v>backend/tests/Feature/Curricular/CompetenciaCapacidadCrudTest.php</x:v>
      </x:c>
      <x:c r="I39" s="32" t="str">
        <x:v>Completado</x:v>
      </x:c>
      <x:c r="J39" s="32" t="str">
        <x:v>Alta</x:v>
      </x:c>
      <x:c r="K39" s="32" t="str">
        <x:v>Ernesto Marcial Constantino Chuchon Sotelo</x:v>
      </x:c>
      <x:c r="L39" s="32" t="str">
        <x:v>Backend</x:v>
      </x:c>
      <x:c r="M39" s="32" t="str">
        <x:v>Bajo</x:v>
      </x:c>
      <x:c r="N39" s="32" t="str">
        <x:v>CRUD de competencias asociadas a áreas con seeders del Currículo Nacional</x:v>
      </x:c>
      <x:c r="O39" s="110" t="str">
        <x:v>2026-05-23</x:v>
      </x:c>
      <x:c r="P39" s="110" t="str">
        <x:v>2026-05-24</x:v>
      </x:c>
    </x:row>
    <x:row r="40">
      <x:c r="A40" s="48" t="str">
        <x:v>INT-004 Configuración académica por nivel y grado</x:v>
      </x:c>
      <x:c r="B40" s="32" t="str">
        <x:v>INT-004-BOLT-007</x:v>
      </x:c>
      <x:c r="C40" s="32" t="str">
        <x:v>Registrar capacidades por competencia</x:v>
      </x:c>
      <x:c r="D40" s="32" t="str">
        <x:v>Curricular</x:v>
      </x:c>
      <x:c r="E40" s="32" t="str">
        <x:v>Sí</x:v>
      </x:c>
      <x:c r="F40" s="32" t="str">
        <x:v>backend/app/Models/Curricular/Capacidad.php, backend/app/Services/Curricular/CompetenciaCapacidadService.php</x:v>
      </x:c>
      <x:c r="G40" s="32" t="str">
        <x:v>Sí</x:v>
      </x:c>
      <x:c r="H40" s="32" t="str">
        <x:v>backend/tests/Feature/Curricular/CompetenciaCapacidadCrudTest.php</x:v>
      </x:c>
      <x:c r="I40" s="32" t="str">
        <x:v>Completado</x:v>
      </x:c>
      <x:c r="J40" s="32" t="str">
        <x:v>Alta</x:v>
      </x:c>
      <x:c r="K40" s="32" t="str">
        <x:v>Ernesto Marcial Constantino Chuchon Sotelo</x:v>
      </x:c>
      <x:c r="L40" s="32" t="str">
        <x:v>Backend</x:v>
      </x:c>
      <x:c r="M40" s="32" t="str">
        <x:v>Bajo</x:v>
      </x:c>
      <x:c r="N40" s="32" t="str">
        <x:v>CRUD de capacidades asociadas a competencias</x:v>
      </x:c>
      <x:c r="O40" s="110" t="str">
        <x:v>2026-05-23</x:v>
      </x:c>
      <x:c r="P40" s="110" t="str">
        <x:v>2026-05-24</x:v>
      </x:c>
    </x:row>
    <x:row r="41">
      <x:c r="A41" s="48" t="str">
        <x:v>INT-004 Configuración académica por nivel y grado</x:v>
      </x:c>
      <x:c r="B41" s="32" t="str">
        <x:v>INT-004-BOLT-008</x:v>
      </x:c>
      <x:c r="C41" s="32" t="str">
        <x:v>Registrar temas por bimestre</x:v>
      </x:c>
      <x:c r="D41" s="32" t="str">
        <x:v>Curricular</x:v>
      </x:c>
      <x:c r="E41" s="32" t="str">
        <x:v>Sí</x:v>
      </x:c>
      <x:c r="F41" s="32" t="str">
        <x:v>backend/app/Models/Curricular/TemaSemanal.php, backend/app/Services/Curricular/TemaSemanalService.php, backend/app/Http/Controllers/Api/Curricular/TemaSemanalController.php, frontend/src/components/curricular/TemasSemanalesPanel.jsx</x:v>
      </x:c>
      <x:c r="G41" s="32" t="str">
        <x:v>Sí</x:v>
      </x:c>
      <x:c r="H41" s="32" t="str">
        <x:v>backend/tests/Feature/Curricular/CurricularApiTest.php</x:v>
      </x:c>
      <x:c r="I41" s="32" t="str">
        <x:v>Completado</x:v>
      </x:c>
      <x:c r="J41" s="32" t="str">
        <x:v>Alta</x:v>
      </x:c>
      <x:c r="K41" s="32" t="str">
        <x:v>Diego Ricardo Carhuamaca Vasquez</x:v>
      </x:c>
      <x:c r="L41" s="32" t="str">
        <x:v>Backend</x:v>
      </x:c>
      <x:c r="M41" s="32" t="str">
        <x:v>Bajo</x:v>
      </x:c>
      <x:c r="N41" s="32" t="str">
        <x:v>Temas semanales asociados a malla_curso, semana y bimestre con API y panel frontend</x:v>
      </x:c>
      <x:c r="O41" s="110" t="str">
        <x:v>2026-05-23</x:v>
      </x:c>
      <x:c r="P41" s="110" t="str">
        <x:v>2026-05-24</x:v>
      </x:c>
    </x:row>
    <x:row r="42">
      <x:c r="A42" s="48" t="str">
        <x:v>INT-004 Configuración académica por nivel y grado</x:v>
      </x:c>
      <x:c r="B42" s="32" t="str">
        <x:v>INT-004-BOLT-009</x:v>
      </x:c>
      <x:c r="C42" s="32" t="str">
        <x:v>Registrar criterios de evaluación</x:v>
      </x:c>
      <x:c r="D42" s="32" t="str">
        <x:v>Curricular</x:v>
      </x:c>
      <x:c r="E42" s="32" t="str">
        <x:v>Sí</x:v>
      </x:c>
      <x:c r="F42" s="32" t="str">
        <x:v>backend/database/seeders/Curricular/CriteriosEvaluacionInicialSeeder.php, backend/database/migrations/2026_05_24_100000_criterios_evaluacion_relajar_unique_temas.php</x:v>
      </x:c>
      <x:c r="G42" s="32" t="str">
        <x:v>Sí</x:v>
      </x:c>
      <x:c r="H42" s="32" t="str">
        <x:v>backend/tests/Feature/Seeders/CriteriosEvaluacionInicialSeederTest.php</x:v>
      </x:c>
      <x:c r="I42" s="32" t="str">
        <x:v>Completado</x:v>
      </x:c>
      <x:c r="J42" s="32" t="str">
        <x:v>Alta</x:v>
      </x:c>
      <x:c r="K42" s="32" t="str">
        <x:v>Ernesto Marcial Constantino Chuchon Sotelo</x:v>
      </x:c>
      <x:c r="L42" s="32" t="str">
        <x:v>Backend</x:v>
      </x:c>
      <x:c r="M42" s="32" t="str">
        <x:v>Bajo</x:v>
      </x:c>
      <x:c r="N42" s="32" t="str">
        <x:v>Criterios de evaluación para Inicial con seeder y migración de ajuste de unicidad</x:v>
      </x:c>
      <x:c r="O42" s="110" t="str">
        <x:v>2026-05-24</x:v>
      </x:c>
      <x:c r="P42" s="110" t="str">
        <x:v>2026-05-24</x:v>
      </x:c>
    </x:row>
    <x:row r="43">
      <x:c r="A43" s="48" t="str">
        <x:v>INT-004 Configuración académica por nivel y grado</x:v>
      </x:c>
      <x:c r="B43" s="32" t="str">
        <x:v>INT-004-BOLT-010</x:v>
      </x:c>
      <x:c r="C43" s="32" t="str">
        <x:v>Validar estructura Nivel → Grado → Área → Curso → Competencia → Capacidad → Tema → Bimestre</x:v>
      </x:c>
      <x:c r="D43" s="32" t="str">
        <x:v>Curricular</x:v>
      </x:c>
      <x:c r="E43" s="32" t="str">
        <x:v>Sí</x:v>
      </x:c>
      <x:c r="F43" s="32" t="str">
        <x:v>backend/app/Services/Curricular/MallaCurricularService.php, backend/app/Services/Curricular/CatalogoCompetenciaCapacidadQuery.php</x:v>
      </x:c>
      <x:c r="G43" s="32" t="str">
        <x:v>Sí</x:v>
      </x:c>
      <x:c r="H43" s="32" t="str">
        <x:v>backend/tests/Feature/Curricular/CurricularApiTest.php</x:v>
      </x:c>
      <x:c r="I43" s="32" t="str">
        <x:v>Completado</x:v>
      </x:c>
      <x:c r="J43" s="32" t="str">
        <x:v>Alta</x:v>
      </x:c>
      <x:c r="K43" s="32" t="str">
        <x:v>Ernesto Marcial Constantino Chuchon Sotelo</x:v>
      </x:c>
      <x:c r="L43" s="32" t="str">
        <x:v>Integración</x:v>
      </x:c>
      <x:c r="M43" s="32" t="str">
        <x:v>Bajo</x:v>
      </x:c>
      <x:c r="N43" s="32" t="str">
        <x:v>Estructura jerárquica completa validada con tests de API y servicios</x:v>
      </x:c>
      <x:c r="O43" s="110" t="str">
        <x:v>2026-05-23</x:v>
      </x:c>
      <x:c r="P43" s="110" t="str">
        <x:v>2026-05-27</x:v>
      </x:c>
    </x:row>
    <x:row r="44">
      <x:c r="A44" s="48" t="str">
        <x:v>INT-004 Configuración académica por nivel y grado</x:v>
      </x:c>
      <x:c r="B44" s="32" t="str">
        <x:v>INT-004-BOLT-011</x:v>
      </x:c>
      <x:c r="C44" s="32" t="str">
        <x:v>Ajustar Inicial para que Arte y Cultura no sea curso independiente</x:v>
      </x:c>
      <x:c r="D44" s="32" t="str">
        <x:v>Curricular</x:v>
      </x:c>
      <x:c r="E44" s="32" t="str">
        <x:v>Sí</x:v>
      </x:c>
      <x:c r="F44" s="32" t="str">
        <x:v>backend/database/seeders/Curricular/CurriculoNacionalOficial.php (Arte dentro de Comunicación como competencia 'Crea proyectos desde los lenguajes artísticos')</x:v>
      </x:c>
      <x:c r="G44" s="32" t="str">
        <x:v>Sí</x:v>
      </x:c>
      <x:c r="H44" s="32" t="str">
        <x:v>backend/tests/Feature/Curricular/CurricularSeedersTest.php</x:v>
      </x:c>
      <x:c r="I44" s="32" t="str">
        <x:v>Completado</x:v>
      </x:c>
      <x:c r="J44" s="32" t="str">
        <x:v>Alta</x:v>
      </x:c>
      <x:c r="K44" s="32" t="str">
        <x:v>Ernesto Marcial Constantino Chuchon Sotelo</x:v>
      </x:c>
      <x:c r="L44" s="32" t="str">
        <x:v>Backend</x:v>
      </x:c>
      <x:c r="M44" s="32" t="str">
        <x:v>Bajo</x:v>
      </x:c>
      <x:c r="N44" s="32" t="str">
        <x:v>Arte y Cultura integrado como competencia dentro de Comunicación para Inicial</x:v>
      </x:c>
      <x:c r="O44" s="110" t="str">
        <x:v>2026-05-24</x:v>
      </x:c>
      <x:c r="P44" s="110" t="str">
        <x:v>2026-05-27</x:v>
      </x:c>
    </x:row>
    <x:row r="45">
      <x:c r="A45" s="48" t="str">
        <x:v>INT-004 Configuración académica por nivel y grado</x:v>
      </x:c>
      <x:c r="B45" s="32" t="str">
        <x:v>INT-004-BOLT-012</x:v>
      </x:c>
      <x:c r="C45" s="32" t="str">
        <x:v>Ajustar Inicial para que Religión no sea curso independiente</x:v>
      </x:c>
      <x:c r="D45" s="32" t="str">
        <x:v>Curricular</x:v>
      </x:c>
      <x:c r="E45" s="32" t="str">
        <x:v>Sí</x:v>
      </x:c>
      <x:c r="F45" s="32" t="str">
        <x:v>backend/database/seeders/Curricular/CurriculoNacionalOficial.php (Religión dentro de Personal Social como competencia)</x:v>
      </x:c>
      <x:c r="G45" s="32" t="str">
        <x:v>Sí</x:v>
      </x:c>
      <x:c r="H45" s="32" t="str">
        <x:v>backend/tests/Feature/Curricular/CurricularSeedersTest.php</x:v>
      </x:c>
      <x:c r="I45" s="32" t="str">
        <x:v>Completado</x:v>
      </x:c>
      <x:c r="J45" s="32" t="str">
        <x:v>Alta</x:v>
      </x:c>
      <x:c r="K45" s="32" t="str">
        <x:v>Ernesto Marcial Constantino Chuchon Sotelo</x:v>
      </x:c>
      <x:c r="L45" s="32" t="str">
        <x:v>Backend</x:v>
      </x:c>
      <x:c r="M45" s="32" t="str">
        <x:v>Bajo</x:v>
      </x:c>
      <x:c r="N45" s="32" t="str">
        <x:v>Religión integrado como competencia dentro de Personal Social para Inicial</x:v>
      </x:c>
      <x:c r="O45" s="110" t="str">
        <x:v>2026-05-24</x:v>
      </x:c>
      <x:c r="P45" s="110" t="str">
        <x:v>2026-05-27</x:v>
      </x:c>
    </x:row>
    <x:row r="46">
      <x:c r="A46" s="48" t="str">
        <x:v>INT-004 Configuración académica por nivel y grado</x:v>
      </x:c>
      <x:c r="B46" s="32" t="str">
        <x:v>INT-004-BOLT-013</x:v>
      </x:c>
      <x:c r="C46" s="32" t="str">
        <x:v>Ajustar Secundaria para que Cívica pertenezca a DPCC</x:v>
      </x:c>
      <x:c r="D46" s="32" t="str">
        <x:v>Curricular</x:v>
      </x:c>
      <x:c r="E46" s="32" t="str">
        <x:v>Sí</x:v>
      </x:c>
      <x:c r="F46" s="32" t="str">
        <x:v>backend/database/seeders/Curricular/CurriculoNacionalOficial.php, backend/database/seeders/Curricular/CatalogoInstitucionalBlenkir.php</x:v>
      </x:c>
      <x:c r="G46" s="32" t="str">
        <x:v>No</x:v>
      </x:c>
      <x:c r="H46" s="32" t="str">
        <x:v>Pendiente de adjuntar</x:v>
      </x:c>
      <x:c r="I46" s="32" t="str">
        <x:v>En proceso</x:v>
      </x:c>
      <x:c r="J46" s="32" t="str">
        <x:v>Alta</x:v>
      </x:c>
      <x:c r="K46" s="32" t="str">
        <x:v>Ernesto Marcial Constantino Chuchon Sotelo</x:v>
      </x:c>
      <x:c r="L46" s="32" t="str">
        <x:v>Backend</x:v>
      </x:c>
      <x:c r="M46" s="32" t="str">
        <x:v>Medio</x:v>
      </x:c>
      <x:c r="N46" s="32" t="str">
        <x:v>Configuración en seeders; falta validar con tests específicos de Secundaria para DPCC 1°-2° y 3°-5°</x:v>
      </x:c>
      <x:c r="O46" s="110" t="str">
        <x:v>2026-05-27</x:v>
      </x:c>
      <x:c r="P46" s="110" t="str">
        <x:v>Pendiente</x:v>
      </x:c>
    </x:row>
    <x:row r="47">
      <x:c r="A47" s="48" t="str">
        <x:v>INT-004 Configuración académica por nivel y grado</x:v>
      </x:c>
      <x:c r="B47" s="32" t="str">
        <x:v>INT-004-BOLT-014</x:v>
      </x:c>
      <x:c r="C47" s="32" t="str">
        <x:v>Probar configuración académica con datos de Inicial, Primaria y Secundaria</x:v>
      </x:c>
      <x:c r="D47" s="32" t="str">
        <x:v>Pruebas</x:v>
      </x:c>
      <x:c r="E47" s="32" t="str">
        <x:v>Sí</x:v>
      </x:c>
      <x:c r="F47" s="32" t="str">
        <x:v>backend/tests/Feature/Curricular/CurricularApiTest.php (82KB de tests), backend/tests/Feature/Curricular/CurricularSeedersTest.php</x:v>
      </x:c>
      <x:c r="G47" s="32" t="str">
        <x:v>Sí</x:v>
      </x:c>
      <x:c r="H47" s="32" t="str">
        <x:v>php artisan test --filter=CurricularApiTest</x:v>
      </x:c>
      <x:c r="I47" s="32" t="str">
        <x:v>Completado</x:v>
      </x:c>
      <x:c r="J47" s="32" t="str">
        <x:v>Alta</x:v>
      </x:c>
      <x:c r="K47" s="32" t="str">
        <x:v>Equipo SIDERAE</x:v>
      </x:c>
      <x:c r="L47" s="32" t="str">
        <x:v>Pruebas</x:v>
      </x:c>
      <x:c r="M47" s="32" t="str">
        <x:v>Bajo</x:v>
      </x:c>
      <x:c r="N47" s="32" t="str">
        <x:v>Suite extensa de tests curriculares incluyendo seeders, API y validaciones</x:v>
      </x:c>
      <x:c r="O47" s="110" t="str">
        <x:v>2026-05-24</x:v>
      </x:c>
      <x:c r="P47" s="110" t="str">
        <x:v>2026-05-27</x:v>
      </x:c>
    </x:row>
    <x:row r="48">
      <x:c r="A48" s="48" t="str">
        <x:v>INT-004 Configuración académica por nivel y grado</x:v>
      </x:c>
      <x:c r="B48" s="32" t="str">
        <x:v>INT-004-BOLT-015</x:v>
      </x:c>
      <x:c r="C48" s="32" t="str">
        <x:v>Configurar malla curricular por grado (cargar plantilla, CRUD cursos)</x:v>
      </x:c>
      <x:c r="D48" s="32" t="str">
        <x:v>Curricular</x:v>
      </x:c>
      <x:c r="E48" s="32" t="str">
        <x:v>Sí</x:v>
      </x:c>
      <x:c r="F48" s="32" t="str">
        <x:v>backend/app/Http/Controllers/Api/Curricular/MallaCurricularController.php, backend/app/Services/Curricular/MallaCurricularService.php, frontend/src/components/curricular/MallaCurricularPanel.jsx</x:v>
      </x:c>
      <x:c r="G48" s="32" t="str">
        <x:v>Sí</x:v>
      </x:c>
      <x:c r="H48" s="32" t="str">
        <x:v>backend/tests/Feature/Curricular/CurricularApiTest.php</x:v>
      </x:c>
      <x:c r="I48" s="32" t="str">
        <x:v>Completado</x:v>
      </x:c>
      <x:c r="J48" s="32" t="str">
        <x:v>Alta</x:v>
      </x:c>
      <x:c r="K48" s="32" t="str">
        <x:v>Ernesto Marcial Constantino Chuchon Sotelo</x:v>
      </x:c>
      <x:c r="L48" s="32" t="str">
        <x:v>Backend</x:v>
      </x:c>
      <x:c r="M48" s="32" t="str">
        <x:v>Bajo</x:v>
      </x:c>
      <x:c r="N48" s="32" t="str">
        <x:v>Malla curricular con carga de plantilla, agregar/actualizar/desactivar/reactivar cursos. Bolt adicional detectado.</x:v>
      </x:c>
      <x:c r="O48" s="110" t="str">
        <x:v>2026-05-23</x:v>
      </x:c>
      <x:c r="P48" s="110" t="str">
        <x:v>2026-05-27</x:v>
      </x:c>
    </x:row>
    <x:row r="49">
      <x:c r="A49" s="48" t="str">
        <x:v>INT-004 Configuración académica por nivel y grado</x:v>
      </x:c>
      <x:c r="B49" s="32" t="str">
        <x:v>INT-004-BOLT-016</x:v>
      </x:c>
      <x:c r="C49" s="32" t="str">
        <x:v>Gestionar competencias y capacidades con CRUD independiente</x:v>
      </x:c>
      <x:c r="D49" s="32" t="str">
        <x:v>Curricular</x:v>
      </x:c>
      <x:c r="E49" s="32" t="str">
        <x:v>Sí</x:v>
      </x:c>
      <x:c r="F49" s="32" t="str">
        <x:v>backend/app/Http/Controllers/Api/Curricular/CompetenciaCapacidadController.php, frontend/src/components/curricular/CompetenciasCapacidadesPanel.jsx</x:v>
      </x:c>
      <x:c r="G49" s="32" t="str">
        <x:v>Sí</x:v>
      </x:c>
      <x:c r="H49" s="32" t="str">
        <x:v>backend/tests/Feature/Curricular/CompetenciaCapacidadCrudTest.php</x:v>
      </x:c>
      <x:c r="I49" s="32" t="str">
        <x:v>Completado</x:v>
      </x:c>
      <x:c r="J49" s="32" t="str">
        <x:v>Alta</x:v>
      </x:c>
      <x:c r="K49" s="32" t="str">
        <x:v>Ernesto Marcial Constantino Chuchon Sotelo</x:v>
      </x:c>
      <x:c r="L49" s="32" t="str">
        <x:v>Backend</x:v>
      </x:c>
      <x:c r="M49" s="32" t="str">
        <x:v>Bajo</x:v>
      </x:c>
      <x:c r="N49" s="32" t="str">
        <x:v>CRUD completo de competencias/capacidades con panel frontend. Bolt adicional detectado.</x:v>
      </x:c>
      <x:c r="O49" s="110" t="str">
        <x:v>2026-05-24</x:v>
      </x:c>
      <x:c r="P49" s="110" t="str">
        <x:v>2026-05-27</x:v>
      </x:c>
    </x:row>
    <x:row r="50">
      <x:c r="A50" s="48" t="str">
        <x:v>INT-004 Configuración académica por nivel y grado</x:v>
      </x:c>
      <x:c r="B50" s="32" t="str">
        <x:v>INT-004-BOLT-017</x:v>
      </x:c>
      <x:c r="C50" s="32" t="str">
        <x:v>Gestionar calendario académico (años escolares, bimestres, semanas)</x:v>
      </x:c>
      <x:c r="D50" s="32" t="str">
        <x:v>Curricular</x:v>
      </x:c>
      <x:c r="E50" s="32" t="str">
        <x:v>Sí</x:v>
      </x:c>
      <x:c r="F50" s="32" t="str">
        <x:v>backend/app/Models/Curricular/AnioEscolar.php, backend/app/Models/Curricular/PeriodoAcademico.php, backend/app/Models/Curricular/SemanaAcademica.php, backend/app/Services/Curricular/CalendarioAcademicoService.php, backend/app/Http/Controllers/Api/Curricular/AnioEscolarController.php</x:v>
      </x:c>
      <x:c r="G50" s="32" t="str">
        <x:v>Sí</x:v>
      </x:c>
      <x:c r="H50" s="32" t="str">
        <x:v>backend/tests/Feature/Curricular/CalendarioAcademicoTest.php</x:v>
      </x:c>
      <x:c r="I50" s="32" t="str">
        <x:v>Completado</x:v>
      </x:c>
      <x:c r="J50" s="32" t="str">
        <x:v>Alta</x:v>
      </x:c>
      <x:c r="K50" s="32" t="str">
        <x:v>Ernesto Marcial Constantino Chuchon Sotelo</x:v>
      </x:c>
      <x:c r="L50" s="32" t="str">
        <x:v>Backend</x:v>
      </x:c>
      <x:c r="M50" s="32" t="str">
        <x:v>Bajo</x:v>
      </x:c>
      <x:c r="N50" s="32" t="str">
        <x:v>Años escolares, periodos (bimestres) y semanas académicas con API completa. Bolt adicional detectado.</x:v>
      </x:c>
      <x:c r="O50" s="110" t="str">
        <x:v>2026-05-30</x:v>
      </x:c>
      <x:c r="P50" s="110" t="str">
        <x:v>2026-05-30</x:v>
      </x:c>
    </x:row>
    <x:row r="51">
      <x:c r="A51" s="48" t="str">
        <x:v>INT-004 Configuración académica por nivel y grado</x:v>
      </x:c>
      <x:c r="B51" s="32" t="str">
        <x:v>INT-004-BOLT-018</x:v>
      </x:c>
      <x:c r="C51" s="32" t="str">
        <x:v>Configurar componentes de calificación por nivel</x:v>
      </x:c>
      <x:c r="D51" s="32" t="str">
        <x:v>Curricular</x:v>
      </x:c>
      <x:c r="E51" s="32" t="str">
        <x:v>Sí</x:v>
      </x:c>
      <x:c r="F51" s="32" t="str">
        <x:v>backend/app/Models/Curricular/ComponenteCalificacionNivel.php, backend/app/Services/Curricular/ComponenteCalificacionNivelService.php, backend/app/Http/Controllers/Api/Curricular/ComponenteCalificacionController.php, frontend/src/components/curricular/ComponentesCalificacionNivelPanel.jsx</x:v>
      </x:c>
      <x:c r="G51" s="32" t="str">
        <x:v>Sí</x:v>
      </x:c>
      <x:c r="H51" s="32" t="str">
        <x:v>backend/tests/Feature/Curricular/ComponentesCalificacionNivelTest.php</x:v>
      </x:c>
      <x:c r="I51" s="32" t="str">
        <x:v>Completado</x:v>
      </x:c>
      <x:c r="J51" s="32" t="str">
        <x:v>Alta</x:v>
      </x:c>
      <x:c r="K51" s="32" t="str">
        <x:v>Ernesto Marcial Constantino Chuchon Sotelo</x:v>
      </x:c>
      <x:c r="L51" s="32" t="str">
        <x:v>Backend</x:v>
      </x:c>
      <x:c r="M51" s="32" t="str">
        <x:v>Bajo</x:v>
      </x:c>
      <x:c r="N51" s="32" t="str">
        <x:v>Componentes de calificación (Criterios, ETA, etc.) configurables por nivel. Bolt adicional detectado.</x:v>
      </x:c>
      <x:c r="O51" s="110" t="str">
        <x:v>2026-05-30</x:v>
      </x:c>
      <x:c r="P51" s="110" t="str">
        <x:v>2026-05-30</x:v>
      </x:c>
    </x:row>
    <x:row r="52">
      <x:c r="A52" s="48" t="str">
        <x:v>INT-004 Configuración académica por nivel y grado</x:v>
      </x:c>
      <x:c r="B52" s="32" t="str">
        <x:v>INT-004-BOLT-019</x:v>
      </x:c>
      <x:c r="C52" s="32" t="str">
        <x:v>Configurar pesos de evaluación</x:v>
      </x:c>
      <x:c r="D52" s="32" t="str">
        <x:v>Curricular</x:v>
      </x:c>
      <x:c r="E52" s="32" t="str">
        <x:v>Sí</x:v>
      </x:c>
      <x:c r="F52" s="32" t="str">
        <x:v>backend/app/Models/Curricular/ConfiguracionPesoEvaluacion.php, backend/app/Services/Curricular/PesoEvaluacionResolver.php, backend/app/Http/Controllers/Api/Curricular/ConfiguracionPesoEvaluacionController.php, frontend/src/components/curricular/PesosEvaluacionPanel.jsx</x:v>
      </x:c>
      <x:c r="G52" s="32" t="str">
        <x:v>Sí</x:v>
      </x:c>
      <x:c r="H52" s="32" t="str">
        <x:v>backend/tests/Feature/Curricular/ConfiguracionPesoEvaluacionTest.php, backend/tests/Unit/Curricular/PesoEvaluacionResolverTest.php</x:v>
      </x:c>
      <x:c r="I52" s="32" t="str">
        <x:v>Completado</x:v>
      </x:c>
      <x:c r="J52" s="32" t="str">
        <x:v>Alta</x:v>
      </x:c>
      <x:c r="K52" s="32" t="str">
        <x:v>Ernesto Marcial Constantino Chuchon Sotelo</x:v>
      </x:c>
      <x:c r="L52" s="32" t="str">
        <x:v>Backend</x:v>
      </x:c>
      <x:c r="M52" s="32" t="str">
        <x:v>Bajo</x:v>
      </x:c>
      <x:c r="N52" s="32" t="str">
        <x:v>Pesos de evaluación configurables con resolver y tests unitarios. Bolt adicional detectado.</x:v>
      </x:c>
      <x:c r="O52" s="110" t="str">
        <x:v>2026-05-30</x:v>
      </x:c>
      <x:c r="P52" s="110" t="str">
        <x:v>2026-05-30</x:v>
      </x:c>
    </x:row>
    <x:row r="53">
      <x:c r="A53" s="52" t="str">
        <x:v>INT-005 Registro de notas</x:v>
      </x:c>
      <x:c r="B53" s="32" t="str">
        <x:v>INT-005-BOLT-001</x:v>
      </x:c>
      <x:c r="C53" s="32" t="str">
        <x:v>Crear modelo de notas académicas</x:v>
      </x:c>
      <x:c r="D53" s="32" t="str">
        <x:v>Notas</x:v>
      </x:c>
      <x:c r="E53" s="32" t="str">
        <x:v>Sí</x:v>
      </x:c>
      <x:c r="F53" s="32" t="str">
        <x:v>backend/app/Models/Nota.php, backend/database/migrations/2026_04_23_024131_create_notas_table.php, backend/app/Models/Curricular/NotaSemanal.php, backend/app/Models/Curricular/NotaSemanalComponente.php</x:v>
      </x:c>
      <x:c r="G53" s="32" t="str">
        <x:v>Sí</x:v>
      </x:c>
      <x:c r="H53" s="32" t="str">
        <x:v>backend/tests/Feature/DatosAcademicosTest.php</x:v>
      </x:c>
      <x:c r="I53" s="32" t="str">
        <x:v>Completado</x:v>
      </x:c>
      <x:c r="J53" s="32" t="str">
        <x:v>Alta</x:v>
      </x:c>
      <x:c r="K53" s="32" t="str">
        <x:v>Ernesto Marcial Constantino Chuchon Sotelo</x:v>
      </x:c>
      <x:c r="L53" s="32" t="str">
        <x:v>Base de datos</x:v>
      </x:c>
      <x:c r="M53" s="32" t="str">
        <x:v>Bajo</x:v>
      </x:c>
      <x:c r="N53" s="32" t="str">
        <x:v>Modelo legacy Nota + modelo curricular NotaSemanal con componentes dinámicos</x:v>
      </x:c>
      <x:c r="O53" s="110" t="str">
        <x:v>2026-04-23</x:v>
      </x:c>
      <x:c r="P53" s="110" t="str">
        <x:v>2026-05-30</x:v>
      </x:c>
    </x:row>
    <x:row r="54">
      <x:c r="A54" s="52" t="str">
        <x:v>INT-005 Registro de notas</x:v>
      </x:c>
      <x:c r="B54" s="32" t="str">
        <x:v>INT-005-BOLT-002</x:v>
      </x:c>
      <x:c r="C54" s="32" t="str">
        <x:v>Registrar nota individual por estudiante</x:v>
      </x:c>
      <x:c r="D54" s="32" t="str">
        <x:v>Notas</x:v>
      </x:c>
      <x:c r="E54" s="32" t="str">
        <x:v>Sí</x:v>
      </x:c>
      <x:c r="F54" s="32" t="str">
        <x:v>backend/app/Http/Controllers/Api/NotaController.php (store), backend/app/Http/Requests/StoreNotaRequest.php</x:v>
      </x:c>
      <x:c r="G54" s="32" t="str">
        <x:v>Sí</x:v>
      </x:c>
      <x:c r="H54" s="32" t="str">
        <x:v>backend/tests/Feature/DatosAcademicosTest.php</x:v>
      </x:c>
      <x:c r="I54" s="32" t="str">
        <x:v>Completado</x:v>
      </x:c>
      <x:c r="J54" s="32" t="str">
        <x:v>Alta</x:v>
      </x:c>
      <x:c r="K54" s="32" t="str">
        <x:v>Diego Ricardo Carhuamaca Vasquez</x:v>
      </x:c>
      <x:c r="L54" s="32" t="str">
        <x:v>Backend</x:v>
      </x:c>
      <x:c r="M54" s="32" t="str">
        <x:v>Bajo</x:v>
      </x:c>
      <x:c r="N54" s="32" t="str">
        <x:v>Endpoint POST /api/estudiantes/{id}/notas para registro individual</x:v>
      </x:c>
      <x:c r="O54" s="110" t="str">
        <x:v>2026-04-23</x:v>
      </x:c>
      <x:c r="P54" s="110" t="str">
        <x:v>2026-04-25</x:v>
      </x:c>
    </x:row>
    <x:row r="55">
      <x:c r="A55" s="52" t="str">
        <x:v>INT-005 Registro de notas</x:v>
      </x:c>
      <x:c r="B55" s="32" t="str">
        <x:v>INT-005-BOLT-003</x:v>
      </x:c>
      <x:c r="C55" s="32" t="str">
        <x:v>Registrar notas por lote</x:v>
      </x:c>
      <x:c r="D55" s="32" t="str">
        <x:v>Notas</x:v>
      </x:c>
      <x:c r="E55" s="32" t="str">
        <x:v>Sí</x:v>
      </x:c>
      <x:c r="F55" s="32" t="str">
        <x:v>backend/app/Http/Controllers/Api/NotaBatchController.php (store), backend/app/Http/Requests/StoreNotaBatchRequest.php, backend/app/Services/Curricular/NotaSemanalBulkService.php, backend/app/Http/Controllers/Api/Curricular/NotaSemanalController.php (bulk)</x:v>
      </x:c>
      <x:c r="G55" s="32" t="str">
        <x:v>Sí</x:v>
      </x:c>
      <x:c r="H55" s="32" t="str">
        <x:v>backend/tests/Feature/DatosAcademicosTest.php, backend/tests/Feature/Curricular/NotasSemanalesInicialTest.php</x:v>
      </x:c>
      <x:c r="I55" s="32" t="str">
        <x:v>Completado</x:v>
      </x:c>
      <x:c r="J55" s="32" t="str">
        <x:v>Alta</x:v>
      </x:c>
      <x:c r="K55" s="32" t="str">
        <x:v>Diego Ricardo Carhuamaca Vasquez</x:v>
      </x:c>
      <x:c r="L55" s="32" t="str">
        <x:v>Backend</x:v>
      </x:c>
      <x:c r="M55" s="32" t="str">
        <x:v>Bajo</x:v>
      </x:c>
      <x:c r="N55" s="32" t="str">
        <x:v>Registro masivo con NotaBatchController (legacy) y NotaSemanalBulkService (curricular)</x:v>
      </x:c>
      <x:c r="O55" s="110" t="str">
        <x:v>2026-04-25</x:v>
      </x:c>
      <x:c r="P55" s="110" t="str">
        <x:v>2026-05-30</x:v>
      </x:c>
    </x:row>
    <x:row r="56">
      <x:c r="A56" s="52" t="str">
        <x:v>INT-005 Registro de notas</x:v>
      </x:c>
      <x:c r="B56" s="32" t="str">
        <x:v>INT-005-BOLT-004</x:v>
      </x:c>
      <x:c r="C56" s="32" t="str">
        <x:v>Asociar nota con nivel, grado, área, curso, competencia, capacidad, tema y bimestre</x:v>
      </x:c>
      <x:c r="D56" s="32" t="str">
        <x:v>Notas</x:v>
      </x:c>
      <x:c r="E56" s="32" t="str">
        <x:v>Sí</x:v>
      </x:c>
      <x:c r="F56" s="32" t="str">
        <x:v>backend/app/Models/Curricular/NotaSemanal.php (relaciones: malla_curso, tema_semanal, semana_academica), backend/app/Services/Curricular/NotaSemanalFormularioService.php</x:v>
      </x:c>
      <x:c r="G56" s="32" t="str">
        <x:v>Sí</x:v>
      </x:c>
      <x:c r="H56" s="32" t="str">
        <x:v>backend/tests/Feature/Curricular/NotasSemanalesInicialTest.php</x:v>
      </x:c>
      <x:c r="I56" s="32" t="str">
        <x:v>Completado</x:v>
      </x:c>
      <x:c r="J56" s="32" t="str">
        <x:v>Alta</x:v>
      </x:c>
      <x:c r="K56" s="32" t="str">
        <x:v>Ernesto Marcial Constantino Chuchon Sotelo</x:v>
      </x:c>
      <x:c r="L56" s="32" t="str">
        <x:v>Backend</x:v>
      </x:c>
      <x:c r="M56" s="32" t="str">
        <x:v>Bajo</x:v>
      </x:c>
      <x:c r="N56" s="32" t="str">
        <x:v>NotaSemanal vinculada a tema_semanal (que tiene competencia, capacidad, malla_curso, semana)</x:v>
      </x:c>
      <x:c r="O56" s="110" t="str">
        <x:v>2026-05-26</x:v>
      </x:c>
      <x:c r="P56" s="110" t="str">
        <x:v>2026-05-30</x:v>
      </x:c>
    </x:row>
    <x:row r="57">
      <x:c r="A57" s="52" t="str">
        <x:v>INT-005 Registro de notas</x:v>
      </x:c>
      <x:c r="B57" s="32" t="str">
        <x:v>INT-005-BOLT-005</x:v>
      </x:c>
      <x:c r="C57" s="32" t="str">
        <x:v>Registrar nivel de logro AD, A, B o C</x:v>
      </x:c>
      <x:c r="D57" s="32" t="str">
        <x:v>Notas</x:v>
      </x:c>
      <x:c r="E57" s="32" t="str">
        <x:v>Sí</x:v>
      </x:c>
      <x:c r="F57" s="32" t="str">
        <x:v>backend/app/Models/Curricular/EvalBimEscalaLogro.php, backend/database/seeders/Curricular/EvalBimEscalaLogroSeeder.php, backend/app/Services/Curricular/EvaluacionBimestral/NivelLogroBimestralService.php</x:v>
      </x:c>
      <x:c r="G57" s="32" t="str">
        <x:v>Sí</x:v>
      </x:c>
      <x:c r="H57" s="32" t="str">
        <x:v>backend/tests/Feature/Curricular/EvaluacionBimestralTest.php</x:v>
      </x:c>
      <x:c r="I57" s="32" t="str">
        <x:v>Completado</x:v>
      </x:c>
      <x:c r="J57" s="32" t="str">
        <x:v>Alta</x:v>
      </x:c>
      <x:c r="K57" s="32" t="str">
        <x:v>Ernesto Marcial Constantino Chuchon Sotelo</x:v>
      </x:c>
      <x:c r="L57" s="32" t="str">
        <x:v>Backend</x:v>
      </x:c>
      <x:c r="M57" s="32" t="str">
        <x:v>Bajo</x:v>
      </x:c>
      <x:c r="N57" s="32" t="str">
        <x:v>Escala AD/A/B/C registrada en eval_bim_escala_logros con seeder; servicio de cálculo de nivel de logro bimestral</x:v>
      </x:c>
      <x:c r="O57" s="110" t="str">
        <x:v>2026-05-26</x:v>
      </x:c>
      <x:c r="P57" s="110" t="str">
        <x:v>2026-05-30</x:v>
      </x:c>
    </x:row>
    <x:row r="58">
      <x:c r="A58" s="52" t="str">
        <x:v>INT-005 Registro de notas</x:v>
      </x:c>
      <x:c r="B58" s="32" t="str">
        <x:v>INT-005-BOLT-006</x:v>
      </x:c>
      <x:c r="C58" s="32" t="str">
        <x:v>Registrar criterio de evaluación</x:v>
      </x:c>
      <x:c r="D58" s="32" t="str">
        <x:v>Notas</x:v>
      </x:c>
      <x:c r="E58" s="32" t="str">
        <x:v>Sí</x:v>
      </x:c>
      <x:c r="F58" s="32" t="str">
        <x:v>backend/app/Services/Curricular/CeCalculatorService.php, backend/app/Services/Curricular/CeComponentesDinamicosService.php</x:v>
      </x:c>
      <x:c r="G58" s="32" t="str">
        <x:v>Sí</x:v>
      </x:c>
      <x:c r="H58" s="32" t="str">
        <x:v>backend/tests/Unit/Curricular/CeCalculatorServiceTest.php, backend/tests/Unit/Curricular/CeComponentesDinamicosServiceTest.php</x:v>
      </x:c>
      <x:c r="I58" s="32" t="str">
        <x:v>Completado</x:v>
      </x:c>
      <x:c r="J58" s="32" t="str">
        <x:v>Alta</x:v>
      </x:c>
      <x:c r="K58" s="32" t="str">
        <x:v>Ernesto Marcial Constantino Chuchon Sotelo</x:v>
      </x:c>
      <x:c r="L58" s="32" t="str">
        <x:v>Backend</x:v>
      </x:c>
      <x:c r="M58" s="32" t="str">
        <x:v>Bajo</x:v>
      </x:c>
      <x:c r="N58" s="32" t="str">
        <x:v>Conclusión descriptiva y criterios de evaluación con calculadoras y tests unitarios</x:v>
      </x:c>
      <x:c r="O58" s="110" t="str">
        <x:v>2026-05-26</x:v>
      </x:c>
      <x:c r="P58" s="110" t="str">
        <x:v>2026-05-30</x:v>
      </x:c>
    </x:row>
    <x:row r="59">
      <x:c r="A59" s="52" t="str">
        <x:v>INT-005 Registro de notas</x:v>
      </x:c>
      <x:c r="B59" s="32" t="str">
        <x:v>INT-005-BOLT-007</x:v>
      </x:c>
      <x:c r="C59" s="32" t="str">
        <x:v>Registrar conclusión descriptiva</x:v>
      </x:c>
      <x:c r="D59" s="32" t="str">
        <x:v>Notas</x:v>
      </x:c>
      <x:c r="E59" s="32" t="str">
        <x:v>Sí</x:v>
      </x:c>
      <x:c r="F59" s="32" t="str">
        <x:v>backend/app/Services/Curricular/CeCalculatorService.php</x:v>
      </x:c>
      <x:c r="G59" s="32" t="str">
        <x:v>Sí</x:v>
      </x:c>
      <x:c r="H59" s="32" t="str">
        <x:v>backend/tests/Unit/Curricular/CeCalculatorServiceTest.php</x:v>
      </x:c>
      <x:c r="I59" s="32" t="str">
        <x:v>Completado</x:v>
      </x:c>
      <x:c r="J59" s="32" t="str">
        <x:v>Media</x:v>
      </x:c>
      <x:c r="K59" s="32" t="str">
        <x:v>Ernesto Marcial Constantino Chuchon Sotelo</x:v>
      </x:c>
      <x:c r="L59" s="32" t="str">
        <x:v>Backend</x:v>
      </x:c>
      <x:c r="M59" s="32" t="str">
        <x:v>Bajo</x:v>
      </x:c>
      <x:c r="N59" s="32" t="str">
        <x:v>CE (Conclusión Evaluativa) calculada a partir de componentes dinámicos</x:v>
      </x:c>
      <x:c r="O59" s="110" t="str">
        <x:v>2026-05-26</x:v>
      </x:c>
      <x:c r="P59" s="110" t="str">
        <x:v>2026-05-30</x:v>
      </x:c>
    </x:row>
    <x:row r="60">
      <x:c r="A60" s="52" t="str">
        <x:v>INT-005 Registro de notas</x:v>
      </x:c>
      <x:c r="B60" s="32" t="str">
        <x:v>INT-005-BOLT-008</x:v>
      </x:c>
      <x:c r="C60" s="32" t="str">
        <x:v>Calcular promedio o consolidado por curso</x:v>
      </x:c>
      <x:c r="D60" s="32" t="str">
        <x:v>Notas</x:v>
      </x:c>
      <x:c r="E60" s="32" t="str">
        <x:v>Sí</x:v>
      </x:c>
      <x:c r="F60" s="32" t="str">
        <x:v>backend/app/Services/Curricular/ResumenAcademicoService.php, backend/app/Http/Controllers/Api/Curricular/ResumenAcademicoController.php, frontend/src/components/curricular/ResumenAcademicoEstudiante.jsx</x:v>
      </x:c>
      <x:c r="G60" s="32" t="str">
        <x:v>Sí</x:v>
      </x:c>
      <x:c r="H60" s="32" t="str">
        <x:v>backend/tests/Feature/Curricular/ResumenAcademicoTest.php</x:v>
      </x:c>
      <x:c r="I60" s="32" t="str">
        <x:v>Completado</x:v>
      </x:c>
      <x:c r="J60" s="32" t="str">
        <x:v>Alta</x:v>
      </x:c>
      <x:c r="K60" s="32" t="str">
        <x:v>Ernesto Marcial Constantino Chuchon Sotelo</x:v>
      </x:c>
      <x:c r="L60" s="32" t="str">
        <x:v>Backend</x:v>
      </x:c>
      <x:c r="M60" s="32" t="str">
        <x:v>Bajo</x:v>
      </x:c>
      <x:c r="N60" s="32" t="str">
        <x:v>Resumen académico por estudiante con consolidado de notas por curso</x:v>
      </x:c>
      <x:c r="O60" s="110" t="str">
        <x:v>2026-05-26</x:v>
      </x:c>
      <x:c r="P60" s="110" t="str">
        <x:v>2026-05-30</x:v>
      </x:c>
    </x:row>
    <x:row r="61">
      <x:c r="A61" s="52" t="str">
        <x:v>INT-005 Registro de notas</x:v>
      </x:c>
      <x:c r="B61" s="32" t="str">
        <x:v>INT-005-BOLT-009</x:v>
      </x:c>
      <x:c r="C61" s="32" t="str">
        <x:v>Calcular consolidado por competencia</x:v>
      </x:c>
      <x:c r="D61" s="32" t="str">
        <x:v>Notas</x:v>
      </x:c>
      <x:c r="E61" s="32" t="str">
        <x:v>Sí</x:v>
      </x:c>
      <x:c r="F61" s="32" t="str">
        <x:v>backend/app/Services/Curricular/EvaluacionBimestral/NivelLogroBimestralService.php, backend/app/Services/Curricular/EvaluacionBimestral/PromedioCriteriosService.php</x:v>
      </x:c>
      <x:c r="G61" s="32" t="str">
        <x:v>Sí</x:v>
      </x:c>
      <x:c r="H61" s="32" t="str">
        <x:v>backend/tests/Feature/Curricular/EvaluacionBimestralTest.php</x:v>
      </x:c>
      <x:c r="I61" s="32" t="str">
        <x:v>Completado</x:v>
      </x:c>
      <x:c r="J61" s="32" t="str">
        <x:v>Alta</x:v>
      </x:c>
      <x:c r="K61" s="32" t="str">
        <x:v>Ernesto Marcial Constantino Chuchon Sotelo</x:v>
      </x:c>
      <x:c r="L61" s="32" t="str">
        <x:v>Backend</x:v>
      </x:c>
      <x:c r="M61" s="32" t="str">
        <x:v>Bajo</x:v>
      </x:c>
      <x:c r="N61" s="32" t="str">
        <x:v>Consolidado bimestral por competencia con promedio de criterios y nivel de logro</x:v>
      </x:c>
      <x:c r="O61" s="110" t="str">
        <x:v>2026-05-26</x:v>
      </x:c>
      <x:c r="P61" s="110" t="str">
        <x:v>2026-05-30</x:v>
      </x:c>
    </x:row>
    <x:row r="62">
      <x:c r="A62" s="52" t="str">
        <x:v>INT-005 Registro de notas</x:v>
      </x:c>
      <x:c r="B62" s="32" t="str">
        <x:v>INT-005-BOLT-010</x:v>
      </x:c>
      <x:c r="C62" s="32" t="str">
        <x:v>Validar que no existan notas duplicadas</x:v>
      </x:c>
      <x:c r="D62" s="32" t="str">
        <x:v>Notas</x:v>
      </x:c>
      <x:c r="E62" s="32" t="str">
        <x:v>Sí</x:v>
      </x:c>
      <x:c r="F62" s="32" t="str">
        <x:v>backend/app/Services/Curricular/NotaSemanalBulkService.php (upsert logic)</x:v>
      </x:c>
      <x:c r="G62" s="32" t="str">
        <x:v>Sí</x:v>
      </x:c>
      <x:c r="H62" s="32" t="str">
        <x:v>backend/tests/Feature/Curricular/NotasSemanalesInicialTest.php</x:v>
      </x:c>
      <x:c r="I62" s="32" t="str">
        <x:v>En proceso</x:v>
      </x:c>
      <x:c r="J62" s="32" t="str">
        <x:v>Media</x:v>
      </x:c>
      <x:c r="K62" s="32" t="str">
        <x:v>Ernesto Marcial Constantino Chuchon Sotelo</x:v>
      </x:c>
      <x:c r="L62" s="32" t="str">
        <x:v>Backend</x:v>
      </x:c>
      <x:c r="M62" s="32" t="str">
        <x:v>Bajo</x:v>
      </x:c>
      <x:c r="N62" s="32" t="str">
        <x:v>Lógica upsert evita duplicación en notas semanales; validación explícita parcial</x:v>
      </x:c>
      <x:c r="O62" s="110" t="str">
        <x:v>2026-05-30</x:v>
      </x:c>
      <x:c r="P62" s="110" t="str">
        <x:v>Pendiente</x:v>
      </x:c>
    </x:row>
    <x:row r="63">
      <x:c r="A63" s="52" t="str">
        <x:v>INT-005 Registro de notas</x:v>
      </x:c>
      <x:c r="B63" s="32" t="str">
        <x:v>INT-005-BOLT-011</x:v>
      </x:c>
      <x:c r="C63" s="32" t="str">
        <x:v>Bloquear eliminación de notas sin permiso</x:v>
      </x:c>
      <x:c r="D63" s="32" t="str">
        <x:v>Notas</x:v>
      </x:c>
      <x:c r="E63" s="32" t="str">
        <x:v>Sí</x:v>
      </x:c>
      <x:c r="F63" s="32" t="str">
        <x:v>backend/routes/api.php (middleware permission:registrar_notas_semanales)</x:v>
      </x:c>
      <x:c r="G63" s="32" t="str">
        <x:v>No</x:v>
      </x:c>
      <x:c r="H63" s="32" t="str">
        <x:v>Pendiente de adjuntar</x:v>
      </x:c>
      <x:c r="I63" s="32" t="str">
        <x:v>En proceso</x:v>
      </x:c>
      <x:c r="J63" s="32" t="str">
        <x:v>Media</x:v>
      </x:c>
      <x:c r="K63" s="32" t="str">
        <x:v>Ernesto Marcial Constantino Chuchon Sotelo</x:v>
      </x:c>
      <x:c r="L63" s="32" t="str">
        <x:v>Seguridad</x:v>
      </x:c>
      <x:c r="M63" s="32" t="str">
        <x:v>Medio</x:v>
      </x:c>
      <x:c r="N63" s="32" t="str">
        <x:v>Rutas protegidas por permisos; falta endpoint explícito de eliminación con bloqueo</x:v>
      </x:c>
      <x:c r="O63" s="110" t="str">
        <x:v>2026-07-01</x:v>
      </x:c>
      <x:c r="P63" s="110" t="str">
        <x:v>Pendiente</x:v>
      </x:c>
    </x:row>
    <x:row r="64">
      <x:c r="A64" s="52" t="str">
        <x:v>INT-005 Registro de notas</x:v>
      </x:c>
      <x:c r="B64" s="32" t="str">
        <x:v>INT-005-BOLT-012</x:v>
      </x:c>
      <x:c r="C64" s="32" t="str">
        <x:v>Registrar auditoría de cambios en notas</x:v>
      </x:c>
      <x:c r="D64" s="32" t="str">
        <x:v>Notas</x:v>
      </x:c>
      <x:c r="E64" s="32" t="str">
        <x:v>Sí</x:v>
      </x:c>
      <x:c r="F64" s="32" t="str">
        <x:v>backend/tests/Feature/ActivityLogTest.php (verifica auditoría de notas)</x:v>
      </x:c>
      <x:c r="G64" s="32" t="str">
        <x:v>Sí</x:v>
      </x:c>
      <x:c r="H64" s="32" t="str">
        <x:v>backend/tests/Feature/ActivityLogTest.php</x:v>
      </x:c>
      <x:c r="I64" s="32" t="str">
        <x:v>En proceso</x:v>
      </x:c>
      <x:c r="J64" s="32" t="str">
        <x:v>Media</x:v>
      </x:c>
      <x:c r="K64" s="32" t="str">
        <x:v>Ernesto Marcial Constantino Chuchon Sotelo</x:v>
      </x:c>
      <x:c r="L64" s="32" t="str">
        <x:v>Backend</x:v>
      </x:c>
      <x:c r="M64" s="32" t="str">
        <x:v>Medio</x:v>
      </x:c>
      <x:c r="N64" s="32" t="str">
        <x:v>Auditoría de notas parcialmente implementada; verificada en tests de activity log</x:v>
      </x:c>
      <x:c r="O64" s="110" t="str">
        <x:v>2026-05-05</x:v>
      </x:c>
      <x:c r="P64" s="110" t="str">
        <x:v>Pendiente</x:v>
      </x:c>
    </x:row>
    <x:row r="65">
      <x:c r="A65" s="52" t="str">
        <x:v>INT-005 Registro de notas</x:v>
      </x:c>
      <x:c r="B65" s="32" t="str">
        <x:v>INT-005-BOLT-013</x:v>
      </x:c>
      <x:c r="C65" s="32" t="str">
        <x:v>Probar registro de notas con estructura del Colegio Blenkir</x:v>
      </x:c>
      <x:c r="D65" s="32" t="str">
        <x:v>Pruebas</x:v>
      </x:c>
      <x:c r="E65" s="32" t="str">
        <x:v>Sí</x:v>
      </x:c>
      <x:c r="F65" s="32" t="str">
        <x:v>backend/tests/Feature/DatosAcademicosTest.php, backend/tests/Feature/Curricular/NotasSemanalesInicialTest.php, backend/tests/Feature/Curricular/NotasSemanalesComponentesDinamicosTest.php</x:v>
      </x:c>
      <x:c r="G65" s="32" t="str">
        <x:v>Sí</x:v>
      </x:c>
      <x:c r="H65" s="32" t="str">
        <x:v>php artisan test --filter=NotasSemanales</x:v>
      </x:c>
      <x:c r="I65" s="32" t="str">
        <x:v>Completado</x:v>
      </x:c>
      <x:c r="J65" s="32" t="str">
        <x:v>Alta</x:v>
      </x:c>
      <x:c r="K65" s="32" t="str">
        <x:v>Equipo SIDERAE</x:v>
      </x:c>
      <x:c r="L65" s="32" t="str">
        <x:v>Pruebas</x:v>
      </x:c>
      <x:c r="M65" s="32" t="str">
        <x:v>Bajo</x:v>
      </x:c>
      <x:c r="N65" s="32" t="str">
        <x:v>Tests de notas semanales para Inicial con componentes dinámicos</x:v>
      </x:c>
      <x:c r="O65" s="110" t="str">
        <x:v>2026-05-26</x:v>
      </x:c>
      <x:c r="P65" s="110" t="str">
        <x:v>2026-05-30</x:v>
      </x:c>
    </x:row>
    <x:row r="66">
      <x:c r="A66" s="52" t="str">
        <x:v>INT-005 Registro de notas</x:v>
      </x:c>
      <x:c r="B66" s="32" t="str">
        <x:v>INT-005-BOLT-014</x:v>
      </x:c>
      <x:c r="C66" s="32" t="str">
        <x:v>Implementar formulario de registro de notas semanales en frontend</x:v>
      </x:c>
      <x:c r="D66" s="32" t="str">
        <x:v>Frontend</x:v>
      </x:c>
      <x:c r="E66" s="32" t="str">
        <x:v>Sí</x:v>
      </x:c>
      <x:c r="F66" s="32" t="str">
        <x:v>frontend/src/components/curricular/RegistroNotasSemanalesPanel.jsx (48KB), frontend/src/components/curricular/notas/ (11 componentes)</x:v>
      </x:c>
      <x:c r="G66" s="32" t="str">
        <x:v>No</x:v>
      </x:c>
      <x:c r="H66" s="32" t="str">
        <x:v>Pendiente de adjuntar</x:v>
      </x:c>
      <x:c r="I66" s="32" t="str">
        <x:v>Observado</x:v>
      </x:c>
      <x:c r="J66" s="32" t="str">
        <x:v>Alta</x:v>
      </x:c>
      <x:c r="K66" s="32" t="str">
        <x:v>Diego Ricardo Carhuamaca Vasquez</x:v>
      </x:c>
      <x:c r="L66" s="32" t="str">
        <x:v>Frontend</x:v>
      </x:c>
      <x:c r="M66" s="32" t="str">
        <x:v>Bajo</x:v>
      </x:c>
      <x:c r="N66" s="32" t="str">
        <x:v>Panel completo de registro de notas semanales con filtros, vistas por aula/estudiante, toolbar. Bolt adicional detectado. Corrección QA: Está completado, pero no tiene evidencia de pruebas ejecutadas.</x:v>
      </x:c>
      <x:c r="O66" s="110" t="str">
        <x:v>2026-05-26</x:v>
      </x:c>
      <x:c r="P66" s="110" t="str">
        <x:v>2026-05-30</x:v>
      </x:c>
    </x:row>
    <x:row r="67">
      <x:c r="A67" s="52" t="str">
        <x:v>INT-005 Registro de notas</x:v>
      </x:c>
      <x:c r="B67" s="32" t="str">
        <x:v>INT-005-BOLT-015</x:v>
      </x:c>
      <x:c r="C67" s="32" t="str">
        <x:v>Implementar evaluación bimestral (configuración, cálculo, formulario, bulk)</x:v>
      </x:c>
      <x:c r="D67" s="32" t="str">
        <x:v>Notas / Curricular</x:v>
      </x:c>
      <x:c r="E67" s="32" t="str">
        <x:v>Sí</x:v>
      </x:c>
      <x:c r="F67" s="32" t="str">
        <x:v>backend/app/Http/Controllers/Api/Curricular/EvaluacionBimestralController.php (19KB), backend/app/Services/Curricular/EvaluacionBimestral/ (14 servicios), frontend/src/components/curricular/notas/bimestral/</x:v>
      </x:c>
      <x:c r="G67" s="32" t="str">
        <x:v>Sí</x:v>
      </x:c>
      <x:c r="H67" s="32" t="str">
        <x:v>backend/tests/Feature/Curricular/EvaluacionBimestralApiTest.php, backend/tests/Feature/Curricular/EvaluacionBimestralTest.php, backend/tests/Feature/Curricular/ConfiguracionBimestralGradoTest.php, backend/tests/Feature/Curricular/ConfiguracionBimestralDefaultsTest.php</x:v>
      </x:c>
      <x:c r="I67" s="32" t="str">
        <x:v>Completado</x:v>
      </x:c>
      <x:c r="J67" s="32" t="str">
        <x:v>Alta</x:v>
      </x:c>
      <x:c r="K67" s="32" t="str">
        <x:v>Ernesto Marcial Constantino Chuchon Sotelo</x:v>
      </x:c>
      <x:c r="L67" s="32" t="str">
        <x:v>Backend</x:v>
      </x:c>
      <x:c r="M67" s="32" t="str">
        <x:v>Bajo</x:v>
      </x:c>
      <x:c r="N67" s="32" t="str">
        <x:v>Evaluación bimestral completa: configuración por grado, componentes, ETAs, cálculo de nivel de logro, bulk. Bolt adicional detectado.</x:v>
      </x:c>
      <x:c r="O67" s="110" t="str">
        <x:v>2026-05-26</x:v>
      </x:c>
      <x:c r="P67" s="110" t="str">
        <x:v>2026-05-30</x:v>
      </x:c>
    </x:row>
    <x:row r="68">
      <x:c r="A68" s="52" t="str">
        <x:v>INT-005 Registro de notas</x:v>
      </x:c>
      <x:c r="B68" s="32" t="str">
        <x:v>INT-005-BOLT-016</x:v>
      </x:c>
      <x:c r="C68" s="32" t="str">
        <x:v>Implementar asignación docente-curso-aula</x:v>
      </x:c>
      <x:c r="D68" s="32" t="str">
        <x:v>Notas / Curricular</x:v>
      </x:c>
      <x:c r="E68" s="32" t="str">
        <x:v>Sí</x:v>
      </x:c>
      <x:c r="F68" s="32" t="str">
        <x:v>backend/app/Models/Curricular/DocenteCursoAula.php, backend/app/Services/Curricular/AsignacionDocenteBulkService.php, backend/app/Http/Controllers/Api/Curricular/AsignacionDocenteController.php, frontend/src/components/curricular/AsignacionDocentePanel.jsx</x:v>
      </x:c>
      <x:c r="G68" s="32" t="str">
        <x:v>Sí</x:v>
      </x:c>
      <x:c r="H68" s="32" t="str">
        <x:v>backend/tests/Feature/Curricular/AsignacionDocenteValidacionesTest.php</x:v>
      </x:c>
      <x:c r="I68" s="32" t="str">
        <x:v>Completado</x:v>
      </x:c>
      <x:c r="J68" s="32" t="str">
        <x:v>Alta</x:v>
      </x:c>
      <x:c r="K68" s="32" t="str">
        <x:v>Ernesto Marcial Constantino Chuchon Sotelo</x:v>
      </x:c>
      <x:c r="L68" s="32" t="str">
        <x:v>Backend</x:v>
      </x:c>
      <x:c r="M68" s="32" t="str">
        <x:v>Bajo</x:v>
      </x:c>
      <x:c r="N68" s="32" t="str">
        <x:v>Asignación docente a cursos y aulas con validaciones y bulk. Bolt adicional detectado.</x:v>
      </x:c>
      <x:c r="O68" s="110" t="str">
        <x:v>2026-05-30</x:v>
      </x:c>
      <x:c r="P68" s="110" t="str">
        <x:v>2026-05-31</x:v>
      </x:c>
    </x:row>
    <x:row r="69">
      <x:c r="A69" s="56" t="str">
        <x:v>INT-006 Importación de plantillas Excel</x:v>
      </x:c>
      <x:c r="B69" s="32" t="str">
        <x:v>INT-006-BOLT-001</x:v>
      </x:c>
      <x:c r="C69" s="32" t="str">
        <x:v>Instalar y configurar Laravel Excel</x:v>
      </x:c>
      <x:c r="D69" s="32" t="str">
        <x:v>Importación</x:v>
      </x:c>
      <x:c r="E69" s="32" t="str">
        <x:v>Sí</x:v>
      </x:c>
      <x:c r="F69" s="32" t="str">
        <x:v>backend/composer.json (maatwebsite/excel ^3.1)</x:v>
      </x:c>
      <x:c r="G69" s="32" t="str">
        <x:v>No</x:v>
      </x:c>
      <x:c r="H69" s="32" t="str">
        <x:v>No aplica</x:v>
      </x:c>
      <x:c r="I69" s="32" t="str">
        <x:v>Completado</x:v>
      </x:c>
      <x:c r="J69" s="32" t="str">
        <x:v>Alta</x:v>
      </x:c>
      <x:c r="K69" s="32" t="str">
        <x:v>Ernesto Marcial Constantino Chuchon Sotelo</x:v>
      </x:c>
      <x:c r="L69" s="32" t="str">
        <x:v>Backend</x:v>
      </x:c>
      <x:c r="M69" s="32" t="str">
        <x:v>Bajo</x:v>
      </x:c>
      <x:c r="N69" s="32" t="str">
        <x:v>maatwebsite/excel v3.1 instalado en composer.json</x:v>
      </x:c>
      <x:c r="O69" s="110" t="str">
        <x:v>2026-04-23</x:v>
      </x:c>
      <x:c r="P69" s="110" t="str">
        <x:v>2026-04-23</x:v>
      </x:c>
    </x:row>
    <x:row r="70">
      <x:c r="A70" s="56" t="str">
        <x:v>INT-006 Importación de plantillas Excel</x:v>
      </x:c>
      <x:c r="B70" s="32" t="str">
        <x:v>INT-006-BOLT-002</x:v>
      </x:c>
      <x:c r="C70" s="32" t="str">
        <x:v>Diseñar plantilla base de importación</x:v>
      </x:c>
      <x:c r="D70" s="32" t="str">
        <x:v>Importación</x:v>
      </x:c>
      <x:c r="E70" s="32" t="str">
        <x:v>Sí</x:v>
      </x:c>
      <x:c r="F70" s="32" t="str">
        <x:v>backend/app/Services/Curricular/PlantillaRegistroAuxiliarExcelService.php (42KB), backend/app/Services/Curricular/PlantillaRegistroAuxiliarLayout.php, backend/app/Services/Curricular/PlantillaExcelAulaLayout.php</x:v>
      </x:c>
      <x:c r="G70" s="32" t="str">
        <x:v>Sí</x:v>
      </x:c>
      <x:c r="H70" s="32" t="str">
        <x:v>backend/tests/Feature/Curricular/PlantillaRegistroAuxiliarExcelTest.php (53KB)</x:v>
      </x:c>
      <x:c r="I70" s="32" t="str">
        <x:v>Completado</x:v>
      </x:c>
      <x:c r="J70" s="32" t="str">
        <x:v>Alta</x:v>
      </x:c>
      <x:c r="K70" s="32" t="str">
        <x:v>Ernesto Marcial Constantino Chuchon Sotelo</x:v>
      </x:c>
      <x:c r="L70" s="32" t="str">
        <x:v>Backend</x:v>
      </x:c>
      <x:c r="M70" s="32" t="str">
        <x:v>Bajo</x:v>
      </x:c>
      <x:c r="N70" s="32" t="str">
        <x:v>Plantilla Excel de registro auxiliar con layout profesional; servicio de generación de 42KB</x:v>
      </x:c>
      <x:c r="O70" s="110" t="str">
        <x:v>2026-05-26</x:v>
      </x:c>
      <x:c r="P70" s="110" t="str">
        <x:v>2026-05-30</x:v>
      </x:c>
    </x:row>
    <x:row r="71">
      <x:c r="A71" s="56" t="str">
        <x:v>INT-006 Importación de plantillas Excel</x:v>
      </x:c>
      <x:c r="B71" s="32" t="str">
        <x:v>INT-006-BOLT-003</x:v>
      </x:c>
      <x:c r="C71" s="32" t="str">
        <x:v>Importar estudiantes desde Excel</x:v>
      </x:c>
      <x:c r="D71" s="32" t="str">
        <x:v>Importación</x:v>
      </x:c>
      <x:c r="E71" s="32" t="str">
        <x:v>No</x:v>
      </x:c>
      <x:c r="F71" s="32" t="str">
        <x:v>No se encontró evidencia en el repositorio</x:v>
      </x:c>
      <x:c r="G71" s="32" t="str">
        <x:v>No</x:v>
      </x:c>
      <x:c r="H71" s="32" t="str">
        <x:v>No aplica</x:v>
      </x:c>
      <x:c r="I71" s="32" t="str">
        <x:v>Pendiente</x:v>
      </x:c>
      <x:c r="J71" s="32" t="str">
        <x:v>Media</x:v>
      </x:c>
      <x:c r="K71" s="32" t="str">
        <x:v>Diego Ricardo Carhuamaca Vasquez</x:v>
      </x:c>
      <x:c r="L71" s="32" t="str">
        <x:v>Backend</x:v>
      </x:c>
      <x:c r="M71" s="32" t="str">
        <x:v>Medio</x:v>
      </x:c>
      <x:c r="N71" s="32" t="str">
        <x:v>No existe importador de estudiantes desde Excel; funcionalidad pendiente</x:v>
      </x:c>
      <x:c r="O71" s="110" t="str">
        <x:v>2026-07-15</x:v>
      </x:c>
      <x:c r="P71" s="110" t="str">
        <x:v>Pendiente</x:v>
      </x:c>
    </x:row>
    <x:row r="72">
      <x:c r="A72" s="56" t="str">
        <x:v>INT-006 Importación de plantillas Excel</x:v>
      </x:c>
      <x:c r="B72" s="32" t="str">
        <x:v>INT-006-BOLT-004</x:v>
      </x:c>
      <x:c r="C72" s="32" t="str">
        <x:v>Importar notas desde Excel</x:v>
      </x:c>
      <x:c r="D72" s="32" t="str">
        <x:v>Importación</x:v>
      </x:c>
      <x:c r="E72" s="32" t="str">
        <x:v>Sí</x:v>
      </x:c>
      <x:c r="F72" s="32" t="str">
        <x:v>backend/app/Services/Curricular/ImportPlantillaRegistroAuxiliarService.php (29KB), backend/app/Http/Controllers/Api/Curricular/NotaSemanalController.php (importarExcel)</x:v>
      </x:c>
      <x:c r="G72" s="32" t="str">
        <x:v>Sí</x:v>
      </x:c>
      <x:c r="H72" s="32" t="str">
        <x:v>backend/tests/Feature/Curricular/PlantillaRegistroAuxiliarExcelTest.php</x:v>
      </x:c>
      <x:c r="I72" s="32" t="str">
        <x:v>Completado</x:v>
      </x:c>
      <x:c r="J72" s="32" t="str">
        <x:v>Alta</x:v>
      </x:c>
      <x:c r="K72" s="32" t="str">
        <x:v>Ernesto Marcial Constantino Chuchon Sotelo</x:v>
      </x:c>
      <x:c r="L72" s="32" t="str">
        <x:v>Backend</x:v>
      </x:c>
      <x:c r="M72" s="32" t="str">
        <x:v>Bajo</x:v>
      </x:c>
      <x:c r="N72" s="32" t="str">
        <x:v>Importación de notas desde plantilla Excel con servicio de 29KB y endpoint POST /curricular/notas-semanales/importar-excel</x:v>
      </x:c>
      <x:c r="O72" s="110" t="str">
        <x:v>2026-05-26</x:v>
      </x:c>
      <x:c r="P72" s="110" t="str">
        <x:v>2026-05-30</x:v>
      </x:c>
    </x:row>
    <x:row r="73">
      <x:c r="A73" s="56" t="str">
        <x:v>INT-006 Importación de plantillas Excel</x:v>
      </x:c>
      <x:c r="B73" s="32" t="str">
        <x:v>INT-006-BOLT-005</x:v>
      </x:c>
      <x:c r="C73" s="32" t="str">
        <x:v>Importar cursos, competencias, capacidades y temas</x:v>
      </x:c>
      <x:c r="D73" s="32" t="str">
        <x:v>Importación</x:v>
      </x:c>
      <x:c r="E73" s="32" t="str">
        <x:v>No</x:v>
      </x:c>
      <x:c r="F73" s="32" t="str">
        <x:v>No se encontró importador Excel independiente (se usa carga por plantilla desde seeders)</x:v>
      </x:c>
      <x:c r="G73" s="32" t="str">
        <x:v>No</x:v>
      </x:c>
      <x:c r="H73" s="32" t="str">
        <x:v>No aplica</x:v>
      </x:c>
      <x:c r="I73" s="32" t="str">
        <x:v>Observado</x:v>
      </x:c>
      <x:c r="J73" s="32" t="str">
        <x:v>Media</x:v>
      </x:c>
      <x:c r="K73" s="32" t="str">
        <x:v>Ernesto Marcial Constantino Chuchon Sotelo</x:v>
      </x:c>
      <x:c r="L73" s="32" t="str">
        <x:v>Backend</x:v>
      </x:c>
      <x:c r="M73" s="32" t="str">
        <x:v>Medio</x:v>
      </x:c>
      <x:c r="N73" s="32" t="str">
        <x:v>Cursos y competencias se cargan mediante seeders y API, no mediante importación Excel directa</x:v>
      </x:c>
      <x:c r="O73" s="110" t="str">
        <x:v>2026-07-15</x:v>
      </x:c>
      <x:c r="P73" s="110" t="str">
        <x:v>Pendiente</x:v>
      </x:c>
    </x:row>
    <x:row r="74">
      <x:c r="A74" s="56" t="str">
        <x:v>INT-006 Importación de plantillas Excel</x:v>
      </x:c>
      <x:c r="B74" s="32" t="str">
        <x:v>INT-006-BOLT-006</x:v>
      </x:c>
      <x:c r="C74" s="32" t="str">
        <x:v>Validar columnas obligatorias</x:v>
      </x:c>
      <x:c r="D74" s="32" t="str">
        <x:v>Importación</x:v>
      </x:c>
      <x:c r="E74" s="32" t="str">
        <x:v>Sí</x:v>
      </x:c>
      <x:c r="F74" s="32" t="str">
        <x:v>backend/app/Services/Curricular/ImportPlantillaRegistroAuxiliarService.php (validaciones internas)</x:v>
      </x:c>
      <x:c r="G74" s="32" t="str">
        <x:v>Sí</x:v>
      </x:c>
      <x:c r="H74" s="32" t="str">
        <x:v>backend/tests/Feature/Curricular/PlantillaRegistroAuxiliarExcelTest.php</x:v>
      </x:c>
      <x:c r="I74" s="32" t="str">
        <x:v>En proceso</x:v>
      </x:c>
      <x:c r="J74" s="32" t="str">
        <x:v>Media</x:v>
      </x:c>
      <x:c r="K74" s="32" t="str">
        <x:v>Ernesto Marcial Constantino Chuchon Sotelo</x:v>
      </x:c>
      <x:c r="L74" s="32" t="str">
        <x:v>Backend</x:v>
      </x:c>
      <x:c r="M74" s="32" t="str">
        <x:v>Bajo</x:v>
      </x:c>
      <x:c r="N74" s="32" t="str">
        <x:v>Validación de estructura de plantilla implementada dentro del importador</x:v>
      </x:c>
      <x:c r="O74" s="110" t="str">
        <x:v>2026-05-30</x:v>
      </x:c>
      <x:c r="P74" s="110" t="str">
        <x:v>Pendiente</x:v>
      </x:c>
    </x:row>
    <x:row r="75">
      <x:c r="A75" s="56" t="str">
        <x:v>INT-006 Importación de plantillas Excel</x:v>
      </x:c>
      <x:c r="B75" s="32" t="str">
        <x:v>INT-006-BOLT-007</x:v>
      </x:c>
      <x:c r="C75" s="32" t="str">
        <x:v>Detectar filas con errores</x:v>
      </x:c>
      <x:c r="D75" s="32" t="str">
        <x:v>Importación</x:v>
      </x:c>
      <x:c r="E75" s="32" t="str">
        <x:v>Sí</x:v>
      </x:c>
      <x:c r="F75" s="32" t="str">
        <x:v>backend/app/Services/Curricular/ImportPlantillaRegistroAuxiliarService.php</x:v>
      </x:c>
      <x:c r="G75" s="32" t="str">
        <x:v>Sí</x:v>
      </x:c>
      <x:c r="H75" s="32" t="str">
        <x:v>backend/tests/Feature/Curricular/PlantillaRegistroAuxiliarExcelTest.php</x:v>
      </x:c>
      <x:c r="I75" s="32" t="str">
        <x:v>En proceso</x:v>
      </x:c>
      <x:c r="J75" s="32" t="str">
        <x:v>Media</x:v>
      </x:c>
      <x:c r="K75" s="32" t="str">
        <x:v>Ernesto Marcial Constantino Chuchon Sotelo</x:v>
      </x:c>
      <x:c r="L75" s="32" t="str">
        <x:v>Backend</x:v>
      </x:c>
      <x:c r="M75" s="32" t="str">
        <x:v>Bajo</x:v>
      </x:c>
      <x:c r="N75" s="32" t="str">
        <x:v>Detección de errores en importación parcialmente implementada</x:v>
      </x:c>
      <x:c r="O75" s="110" t="str">
        <x:v>2026-05-30</x:v>
      </x:c>
      <x:c r="P75" s="110" t="str">
        <x:v>Pendiente</x:v>
      </x:c>
    </x:row>
    <x:row r="76">
      <x:c r="A76" s="56" t="str">
        <x:v>INT-006 Importación de plantillas Excel</x:v>
      </x:c>
      <x:c r="B76" s="32" t="str">
        <x:v>INT-006-BOLT-008</x:v>
      </x:c>
      <x:c r="C76" s="32" t="str">
        <x:v>Mostrar resumen de importación</x:v>
      </x:c>
      <x:c r="D76" s="32" t="str">
        <x:v>Importación</x:v>
      </x:c>
      <x:c r="E76" s="32" t="str">
        <x:v>No</x:v>
      </x:c>
      <x:c r="F76" s="32" t="str">
        <x:v>Pendiente de adjuntar</x:v>
      </x:c>
      <x:c r="G76" s="32" t="str">
        <x:v>No</x:v>
      </x:c>
      <x:c r="H76" s="32" t="str">
        <x:v>No aplica</x:v>
      </x:c>
      <x:c r="I76" s="32" t="str">
        <x:v>Pendiente</x:v>
      </x:c>
      <x:c r="J76" s="32" t="str">
        <x:v>Media</x:v>
      </x:c>
      <x:c r="K76" s="32" t="str">
        <x:v>Diego Ricardo Carhuamaca Vasquez</x:v>
      </x:c>
      <x:c r="L76" s="32" t="str">
        <x:v>Frontend</x:v>
      </x:c>
      <x:c r="M76" s="32" t="str">
        <x:v>Medio</x:v>
      </x:c>
      <x:c r="N76" s="32" t="str">
        <x:v>No se encontró componente frontend para mostrar resumen de importación al usuario</x:v>
      </x:c>
      <x:c r="O76" s="110" t="str">
        <x:v>2026-07-15</x:v>
      </x:c>
      <x:c r="P76" s="110" t="str">
        <x:v>Pendiente</x:v>
      </x:c>
    </x:row>
    <x:row r="77">
      <x:c r="A77" s="56" t="str">
        <x:v>INT-006 Importación de plantillas Excel</x:v>
      </x:c>
      <x:c r="B77" s="32" t="str">
        <x:v>INT-006-BOLT-009</x:v>
      </x:c>
      <x:c r="C77" s="32" t="str">
        <x:v>Evitar importación duplicada</x:v>
      </x:c>
      <x:c r="D77" s="32" t="str">
        <x:v>Importación</x:v>
      </x:c>
      <x:c r="E77" s="32" t="str">
        <x:v>Sí</x:v>
      </x:c>
      <x:c r="F77" s="32" t="str">
        <x:v>backend/app/Services/Curricular/ImportPlantillaRegistroAuxiliarService.php (upsert logic)</x:v>
      </x:c>
      <x:c r="G77" s="32" t="str">
        <x:v>Sí</x:v>
      </x:c>
      <x:c r="H77" s="32" t="str">
        <x:v>backend/tests/Feature/Curricular/PlantillaRegistroAuxiliarExcelTest.php</x:v>
      </x:c>
      <x:c r="I77" s="32" t="str">
        <x:v>En proceso</x:v>
      </x:c>
      <x:c r="J77" s="32" t="str">
        <x:v>Media</x:v>
      </x:c>
      <x:c r="K77" s="32" t="str">
        <x:v>Ernesto Marcial Constantino Chuchon Sotelo</x:v>
      </x:c>
      <x:c r="L77" s="32" t="str">
        <x:v>Backend</x:v>
      </x:c>
      <x:c r="M77" s="32" t="str">
        <x:v>Bajo</x:v>
      </x:c>
      <x:c r="N77" s="32" t="str">
        <x:v>Lógica upsert previene duplicación en importación de notas</x:v>
      </x:c>
      <x:c r="O77" s="110" t="str">
        <x:v>2026-05-30</x:v>
      </x:c>
      <x:c r="P77" s="110" t="str">
        <x:v>Pendiente</x:v>
      </x:c>
    </x:row>
    <x:row r="78">
      <x:c r="A78" s="56" t="str">
        <x:v>INT-006 Importación de plantillas Excel</x:v>
      </x:c>
      <x:c r="B78" s="32" t="str">
        <x:v>INT-006-BOLT-010</x:v>
      </x:c>
      <x:c r="C78" s="32" t="str">
        <x:v>Registrar log de importación</x:v>
      </x:c>
      <x:c r="D78" s="32" t="str">
        <x:v>Importación</x:v>
      </x:c>
      <x:c r="E78" s="32" t="str">
        <x:v>No</x:v>
      </x:c>
      <x:c r="F78" s="32" t="str">
        <x:v>Pendiente de adjuntar</x:v>
      </x:c>
      <x:c r="G78" s="32" t="str">
        <x:v>No</x:v>
      </x:c>
      <x:c r="H78" s="32" t="str">
        <x:v>No aplica</x:v>
      </x:c>
      <x:c r="I78" s="32" t="str">
        <x:v>Pendiente</x:v>
      </x:c>
      <x:c r="J78" s="32" t="str">
        <x:v>Baja</x:v>
      </x:c>
      <x:c r="K78" s="32" t="str">
        <x:v>Ernesto Marcial Constantino Chuchon Sotelo</x:v>
      </x:c>
      <x:c r="L78" s="32" t="str">
        <x:v>Backend</x:v>
      </x:c>
      <x:c r="M78" s="32" t="str">
        <x:v>Bajo</x:v>
      </x:c>
      <x:c r="N78" s="32" t="str">
        <x:v>No se encontró registro de log específico de importación</x:v>
      </x:c>
      <x:c r="O78" s="110" t="str">
        <x:v>2026-07-15</x:v>
      </x:c>
      <x:c r="P78" s="110" t="str">
        <x:v>Pendiente</x:v>
      </x:c>
    </x:row>
    <x:row r="79">
      <x:c r="A79" s="56" t="str">
        <x:v>INT-006 Importación de plantillas Excel</x:v>
      </x:c>
      <x:c r="B79" s="32" t="str">
        <x:v>INT-006-BOLT-011</x:v>
      </x:c>
      <x:c r="C79" s="32" t="str">
        <x:v>Probar importación con plantilla de Inicial</x:v>
      </x:c>
      <x:c r="D79" s="32" t="str">
        <x:v>Pruebas</x:v>
      </x:c>
      <x:c r="E79" s="32" t="str">
        <x:v>Sí</x:v>
      </x:c>
      <x:c r="F79" s="32" t="str">
        <x:v>backend/tests/Feature/Curricular/PlantillaRegistroAuxiliarExcelTest.php</x:v>
      </x:c>
      <x:c r="G79" s="32" t="str">
        <x:v>Sí</x:v>
      </x:c>
      <x:c r="H79" s="32" t="str">
        <x:v>php artisan test --filter=PlantillaRegistroAuxiliarExcelTest</x:v>
      </x:c>
      <x:c r="I79" s="32" t="str">
        <x:v>Completado</x:v>
      </x:c>
      <x:c r="J79" s="32" t="str">
        <x:v>Alta</x:v>
      </x:c>
      <x:c r="K79" s="32" t="str">
        <x:v>Equipo SIDERAE</x:v>
      </x:c>
      <x:c r="L79" s="32" t="str">
        <x:v>Pruebas</x:v>
      </x:c>
      <x:c r="M79" s="32" t="str">
        <x:v>Bajo</x:v>
      </x:c>
      <x:c r="N79" s="32" t="str">
        <x:v>Tests extensos (53KB) para plantilla de registro auxiliar</x:v>
      </x:c>
      <x:c r="O79" s="110" t="str">
        <x:v>2026-05-30</x:v>
      </x:c>
      <x:c r="P79" s="110" t="str">
        <x:v>2026-05-30</x:v>
      </x:c>
    </x:row>
    <x:row r="80">
      <x:c r="A80" s="56" t="str">
        <x:v>INT-006 Importación de plantillas Excel</x:v>
      </x:c>
      <x:c r="B80" s="32" t="str">
        <x:v>INT-006-BOLT-012</x:v>
      </x:c>
      <x:c r="C80" s="32" t="str">
        <x:v>Probar importación con plantilla de Primaria</x:v>
      </x:c>
      <x:c r="D80" s="32" t="str">
        <x:v>Pruebas</x:v>
      </x:c>
      <x:c r="E80" s="32" t="str">
        <x:v>No</x:v>
      </x:c>
      <x:c r="F80" s="32" t="str">
        <x:v>Pendiente de adjuntar</x:v>
      </x:c>
      <x:c r="G80" s="32" t="str">
        <x:v>No</x:v>
      </x:c>
      <x:c r="H80" s="32" t="str">
        <x:v>No aplica</x:v>
      </x:c>
      <x:c r="I80" s="32" t="str">
        <x:v>Pendiente</x:v>
      </x:c>
      <x:c r="J80" s="32" t="str">
        <x:v>Alta</x:v>
      </x:c>
      <x:c r="K80" s="32" t="str">
        <x:v>Equipo SIDERAE</x:v>
      </x:c>
      <x:c r="L80" s="32" t="str">
        <x:v>Pruebas</x:v>
      </x:c>
      <x:c r="M80" s="32" t="str">
        <x:v>Medio</x:v>
      </x:c>
      <x:c r="N80" s="32" t="str">
        <x:v>No se encontraron tests específicos para plantilla de Primaria</x:v>
      </x:c>
      <x:c r="O80" s="110" t="str">
        <x:v>2026-07-15</x:v>
      </x:c>
      <x:c r="P80" s="110" t="str">
        <x:v>Pendiente</x:v>
      </x:c>
    </x:row>
    <x:row r="81">
      <x:c r="A81" s="56" t="str">
        <x:v>INT-006 Importación de plantillas Excel</x:v>
      </x:c>
      <x:c r="B81" s="32" t="str">
        <x:v>INT-006-BOLT-013</x:v>
      </x:c>
      <x:c r="C81" s="32" t="str">
        <x:v>Probar importación con plantilla de Secundaria</x:v>
      </x:c>
      <x:c r="D81" s="32" t="str">
        <x:v>Pruebas</x:v>
      </x:c>
      <x:c r="E81" s="32" t="str">
        <x:v>No</x:v>
      </x:c>
      <x:c r="F81" s="32" t="str">
        <x:v>Pendiente de adjuntar</x:v>
      </x:c>
      <x:c r="G81" s="32" t="str">
        <x:v>No</x:v>
      </x:c>
      <x:c r="H81" s="32" t="str">
        <x:v>No aplica</x:v>
      </x:c>
      <x:c r="I81" s="32" t="str">
        <x:v>Pendiente</x:v>
      </x:c>
      <x:c r="J81" s="32" t="str">
        <x:v>Alta</x:v>
      </x:c>
      <x:c r="K81" s="32" t="str">
        <x:v>Equipo SIDERAE</x:v>
      </x:c>
      <x:c r="L81" s="32" t="str">
        <x:v>Pruebas</x:v>
      </x:c>
      <x:c r="M81" s="32" t="str">
        <x:v>Medio</x:v>
      </x:c>
      <x:c r="N81" s="32" t="str">
        <x:v>No se encontraron tests específicos para plantilla de Secundaria</x:v>
      </x:c>
      <x:c r="O81" s="110" t="str">
        <x:v>2026-07-15</x:v>
      </x:c>
      <x:c r="P81" s="110" t="str">
        <x:v>Pendiente</x:v>
      </x:c>
    </x:row>
    <x:row r="82">
      <x:c r="A82" s="56" t="str">
        <x:v>INT-006 Importación de plantillas Excel</x:v>
      </x:c>
      <x:c r="B82" s="32" t="str">
        <x:v>INT-006-BOLT-014</x:v>
      </x:c>
      <x:c r="C82" s="32" t="str">
        <x:v>Generar Excel por aula para descarga</x:v>
      </x:c>
      <x:c r="D82" s="32" t="str">
        <x:v>Importación</x:v>
      </x:c>
      <x:c r="E82" s="32" t="str">
        <x:v>Sí</x:v>
      </x:c>
      <x:c r="F82" s="32" t="str">
        <x:v>backend/app/Services/Curricular/PlantillaRegistroAuxiliarAulaService.php, backend/app/Services/Curricular/PlantillaRegistroAuxiliarAulaExcelService.php, frontend/src/components/curricular/ExcelPorAulaPanel.jsx</x:v>
      </x:c>
      <x:c r="G82" s="32" t="str">
        <x:v>Sí</x:v>
      </x:c>
      <x:c r="H82" s="32" t="str">
        <x:v>backend/tests/Feature/Curricular/ExcelAulaTest.php</x:v>
      </x:c>
      <x:c r="I82" s="32" t="str">
        <x:v>Completado</x:v>
      </x:c>
      <x:c r="J82" s="32" t="str">
        <x:v>Alta</x:v>
      </x:c>
      <x:c r="K82" s="32" t="str">
        <x:v>Ernesto Marcial Constantino Chuchon Sotelo</x:v>
      </x:c>
      <x:c r="L82" s="32" t="str">
        <x:v>Reportes</x:v>
      </x:c>
      <x:c r="M82" s="32" t="str">
        <x:v>Bajo</x:v>
      </x:c>
      <x:c r="N82" s="32" t="str">
        <x:v>Generación de plantilla Excel por aula con descarga y panel frontend. Bolt adicional detectado.</x:v>
      </x:c>
      <x:c r="O82" s="110" t="str">
        <x:v>2026-05-30</x:v>
      </x:c>
      <x:c r="P82" s="110" t="str">
        <x:v>2026-05-30</x:v>
      </x:c>
    </x:row>
    <x:row r="83">
      <x:c r="A83" s="60" t="str">
        <x:v>INT-007 Registro de asistencia</x:v>
      </x:c>
      <x:c r="B83" s="32" t="str">
        <x:v>INT-007-BOLT-001</x:v>
      </x:c>
      <x:c r="C83" s="32" t="str">
        <x:v>Crear modelo de asistencia</x:v>
      </x:c>
      <x:c r="D83" s="32" t="str">
        <x:v>Asistencia</x:v>
      </x:c>
      <x:c r="E83" s="32" t="str">
        <x:v>Sí</x:v>
      </x:c>
      <x:c r="F83" s="32" t="str">
        <x:v>backend/app/Models/Asistencia.php (legacy), backend/app/Models/Curricular/AsistenciaDiaria.php, backend/database/migrations/2026_04_23_024152_create_asistencias_table.php, backend/database/migrations/2026_05_27_100000_create_asistencias_diarias_table.php</x:v>
      </x:c>
      <x:c r="G83" s="32" t="str">
        <x:v>Sí</x:v>
      </x:c>
      <x:c r="H83" s="32" t="str">
        <x:v>backend/tests/Feature/DatosAcademicosTest.php, backend/tests/Feature/Curricular/AsistenciaDiariaTest.php</x:v>
      </x:c>
      <x:c r="I83" s="32" t="str">
        <x:v>Completado</x:v>
      </x:c>
      <x:c r="J83" s="32" t="str">
        <x:v>Alta</x:v>
      </x:c>
      <x:c r="K83" s="32" t="str">
        <x:v>Ernesto Marcial Constantino Chuchon Sotelo</x:v>
      </x:c>
      <x:c r="L83" s="32" t="str">
        <x:v>Base de datos</x:v>
      </x:c>
      <x:c r="M83" s="32" t="str">
        <x:v>Bajo</x:v>
      </x:c>
      <x:c r="N83" s="32" t="str">
        <x:v>Modelo legacy Asistencia + modelo curricular AsistenciaDiaria con migración propia</x:v>
      </x:c>
      <x:c r="O83" s="110" t="str">
        <x:v>2026-04-23</x:v>
      </x:c>
      <x:c r="P83" s="110" t="str">
        <x:v>2026-05-27</x:v>
      </x:c>
    </x:row>
    <x:row r="84">
      <x:c r="A84" s="60" t="str">
        <x:v>INT-007 Registro de asistencia</x:v>
      </x:c>
      <x:c r="B84" s="32" t="str">
        <x:v>INT-007-BOLT-002</x:v>
      </x:c>
      <x:c r="C84" s="32" t="str">
        <x:v>Registrar asistencia diaria</x:v>
      </x:c>
      <x:c r="D84" s="32" t="str">
        <x:v>Asistencia</x:v>
      </x:c>
      <x:c r="E84" s="32" t="str">
        <x:v>Sí</x:v>
      </x:c>
      <x:c r="F84" s="32" t="str">
        <x:v>backend/app/Http/Controllers/Api/Curricular/AsistenciaDiariaController.php, backend/app/Services/Curricular/AsistenciaDiariaBulkService.php</x:v>
      </x:c>
      <x:c r="G84" s="32" t="str">
        <x:v>Sí</x:v>
      </x:c>
      <x:c r="H84" s="32" t="str">
        <x:v>backend/tests/Feature/Curricular/AsistenciaDiariaTest.php</x:v>
      </x:c>
      <x:c r="I84" s="32" t="str">
        <x:v>Completado</x:v>
      </x:c>
      <x:c r="J84" s="32" t="str">
        <x:v>Alta</x:v>
      </x:c>
      <x:c r="K84" s="32" t="str">
        <x:v>Diego Ricardo Carhuamaca Vasquez</x:v>
      </x:c>
      <x:c r="L84" s="32" t="str">
        <x:v>Backend</x:v>
      </x:c>
      <x:c r="M84" s="32" t="str">
        <x:v>Bajo</x:v>
      </x:c>
      <x:c r="N84" s="32" t="str">
        <x:v>Registro diario con bulk vía POST /curricular/asistencias-diarias/bulk</x:v>
      </x:c>
      <x:c r="O84" s="110" t="str">
        <x:v>2026-05-27</x:v>
      </x:c>
      <x:c r="P84" s="110" t="str">
        <x:v>2026-05-27</x:v>
      </x:c>
    </x:row>
    <x:row r="85">
      <x:c r="A85" s="60" t="str">
        <x:v>INT-007 Registro de asistencia</x:v>
      </x:c>
      <x:c r="B85" s="32" t="str">
        <x:v>INT-007-BOLT-003</x:v>
      </x:c>
      <x:c r="C85" s="32" t="str">
        <x:v>Registrar falta justificada</x:v>
      </x:c>
      <x:c r="D85" s="32" t="str">
        <x:v>Asistencia</x:v>
      </x:c>
      <x:c r="E85" s="32" t="str">
        <x:v>Sí</x:v>
      </x:c>
      <x:c r="F85" s="32" t="str">
        <x:v>backend/app/Models/Curricular/AsistenciaDiaria.php (campo estado con valores: A, F, T, J)</x:v>
      </x:c>
      <x:c r="G85" s="32" t="str">
        <x:v>Sí</x:v>
      </x:c>
      <x:c r="H85" s="32" t="str">
        <x:v>backend/tests/Feature/Curricular/AsistenciaDiariaTest.php</x:v>
      </x:c>
      <x:c r="I85" s="32" t="str">
        <x:v>Completado</x:v>
      </x:c>
      <x:c r="J85" s="32" t="str">
        <x:v>Alta</x:v>
      </x:c>
      <x:c r="K85" s="32" t="str">
        <x:v>Diego Ricardo Carhuamaca Vasquez</x:v>
      </x:c>
      <x:c r="L85" s="32" t="str">
        <x:v>Backend</x:v>
      </x:c>
      <x:c r="M85" s="32" t="str">
        <x:v>Bajo</x:v>
      </x:c>
      <x:c r="N85" s="32" t="str">
        <x:v>Estado 'J' para falta justificada en modelo AsistenciaDiaria</x:v>
      </x:c>
      <x:c r="O85" s="110" t="str">
        <x:v>2026-05-27</x:v>
      </x:c>
      <x:c r="P85" s="110" t="str">
        <x:v>2026-05-27</x:v>
      </x:c>
    </x:row>
    <x:row r="86">
      <x:c r="A86" s="60" t="str">
        <x:v>INT-007 Registro de asistencia</x:v>
      </x:c>
      <x:c r="B86" s="32" t="str">
        <x:v>INT-007-BOLT-004</x:v>
      </x:c>
      <x:c r="C86" s="32" t="str">
        <x:v>Registrar falta injustificada</x:v>
      </x:c>
      <x:c r="D86" s="32" t="str">
        <x:v>Asistencia</x:v>
      </x:c>
      <x:c r="E86" s="32" t="str">
        <x:v>Sí</x:v>
      </x:c>
      <x:c r="F86" s="32" t="str">
        <x:v>backend/app/Models/Curricular/AsistenciaDiaria.php (estado 'F')</x:v>
      </x:c>
      <x:c r="G86" s="32" t="str">
        <x:v>Sí</x:v>
      </x:c>
      <x:c r="H86" s="32" t="str">
        <x:v>backend/tests/Feature/Curricular/AsistenciaDiariaTest.php</x:v>
      </x:c>
      <x:c r="I86" s="32" t="str">
        <x:v>Completado</x:v>
      </x:c>
      <x:c r="J86" s="32" t="str">
        <x:v>Alta</x:v>
      </x:c>
      <x:c r="K86" s="32" t="str">
        <x:v>Diego Ricardo Carhuamaca Vasquez</x:v>
      </x:c>
      <x:c r="L86" s="32" t="str">
        <x:v>Backend</x:v>
      </x:c>
      <x:c r="M86" s="32" t="str">
        <x:v>Bajo</x:v>
      </x:c>
      <x:c r="N86" s="32" t="str">
        <x:v>Estado 'F' para falta injustificada</x:v>
      </x:c>
      <x:c r="O86" s="110" t="str">
        <x:v>2026-05-27</x:v>
      </x:c>
      <x:c r="P86" s="110" t="str">
        <x:v>2026-05-27</x:v>
      </x:c>
    </x:row>
    <x:row r="87">
      <x:c r="A87" s="60" t="str">
        <x:v>INT-007 Registro de asistencia</x:v>
      </x:c>
      <x:c r="B87" s="32" t="str">
        <x:v>INT-007-BOLT-005</x:v>
      </x:c>
      <x:c r="C87" s="32" t="str">
        <x:v>Registrar tardanza</x:v>
      </x:c>
      <x:c r="D87" s="32" t="str">
        <x:v>Asistencia</x:v>
      </x:c>
      <x:c r="E87" s="32" t="str">
        <x:v>Sí</x:v>
      </x:c>
      <x:c r="F87" s="32" t="str">
        <x:v>backend/app/Models/Curricular/AsistenciaDiaria.php (estado 'T')</x:v>
      </x:c>
      <x:c r="G87" s="32" t="str">
        <x:v>Sí</x:v>
      </x:c>
      <x:c r="H87" s="32" t="str">
        <x:v>backend/tests/Feature/Curricular/AsistenciaDiariaTest.php</x:v>
      </x:c>
      <x:c r="I87" s="32" t="str">
        <x:v>Completado</x:v>
      </x:c>
      <x:c r="J87" s="32" t="str">
        <x:v>Alta</x:v>
      </x:c>
      <x:c r="K87" s="32" t="str">
        <x:v>Diego Ricardo Carhuamaca Vasquez</x:v>
      </x:c>
      <x:c r="L87" s="32" t="str">
        <x:v>Backend</x:v>
      </x:c>
      <x:c r="M87" s="32" t="str">
        <x:v>Bajo</x:v>
      </x:c>
      <x:c r="N87" s="32" t="str">
        <x:v>Estado 'T' para tardanza</x:v>
      </x:c>
      <x:c r="O87" s="110" t="str">
        <x:v>2026-05-27</x:v>
      </x:c>
      <x:c r="P87" s="110" t="str">
        <x:v>2026-05-27</x:v>
      </x:c>
    </x:row>
    <x:row r="88">
      <x:c r="A88" s="60" t="str">
        <x:v>INT-007 Registro de asistencia</x:v>
      </x:c>
      <x:c r="B88" s="32" t="str">
        <x:v>INT-007-BOLT-006</x:v>
      </x:c>
      <x:c r="C88" s="32" t="str">
        <x:v>Asociar asistencia con estudiante, aula y fecha</x:v>
      </x:c>
      <x:c r="D88" s="32" t="str">
        <x:v>Asistencia</x:v>
      </x:c>
      <x:c r="E88" s="32" t="str">
        <x:v>Sí</x:v>
      </x:c>
      <x:c r="F88" s="32" t="str">
        <x:v>backend/app/Models/Curricular/AsistenciaDiaria.php (fillable: estudiante_id, seccion_aula_id, fecha, estado)</x:v>
      </x:c>
      <x:c r="G88" s="32" t="str">
        <x:v>Sí</x:v>
      </x:c>
      <x:c r="H88" s="32" t="str">
        <x:v>backend/tests/Feature/Curricular/AsistenciaDiariaTest.php</x:v>
      </x:c>
      <x:c r="I88" s="32" t="str">
        <x:v>Completado</x:v>
      </x:c>
      <x:c r="J88" s="32" t="str">
        <x:v>Alta</x:v>
      </x:c>
      <x:c r="K88" s="32" t="str">
        <x:v>Ernesto Marcial Constantino Chuchon Sotelo</x:v>
      </x:c>
      <x:c r="L88" s="32" t="str">
        <x:v>Backend</x:v>
      </x:c>
      <x:c r="M88" s="32" t="str">
        <x:v>Bajo</x:v>
      </x:c>
      <x:c r="N88" s="32" t="str">
        <x:v>AsistenciaDiaria asociada a estudiante, sección-aula y fecha</x:v>
      </x:c>
      <x:c r="O88" s="110" t="str">
        <x:v>2026-05-27</x:v>
      </x:c>
      <x:c r="P88" s="110" t="str">
        <x:v>2026-05-27</x:v>
      </x:c>
    </x:row>
    <x:row r="89">
      <x:c r="A89" s="60" t="str">
        <x:v>INT-007 Registro de asistencia</x:v>
      </x:c>
      <x:c r="B89" s="32" t="str">
        <x:v>INT-007-BOLT-007</x:v>
      </x:c>
      <x:c r="C89" s="32" t="str">
        <x:v>Crear resumen bimestral de asistencia</x:v>
      </x:c>
      <x:c r="D89" s="32" t="str">
        <x:v>Asistencia</x:v>
      </x:c>
      <x:c r="E89" s="32" t="str">
        <x:v>Sí</x:v>
      </x:c>
      <x:c r="F89" s="32" t="str">
        <x:v>backend/app/Services/Curricular/AsistenciaDiariaResumenService.php, frontend/src/components/estudiantes/ResumenAsistenciaCurricular.jsx</x:v>
      </x:c>
      <x:c r="G89" s="32" t="str">
        <x:v>No</x:v>
      </x:c>
      <x:c r="H89" s="32" t="str">
        <x:v>Pendiente de adjuntar</x:v>
      </x:c>
      <x:c r="I89" s="32" t="str">
        <x:v>En proceso</x:v>
      </x:c>
      <x:c r="J89" s="32" t="str">
        <x:v>Media</x:v>
      </x:c>
      <x:c r="K89" s="32" t="str">
        <x:v>Diego Ricardo Carhuamaca Vasquez</x:v>
      </x:c>
      <x:c r="L89" s="32" t="str">
        <x:v>Backend</x:v>
      </x:c>
      <x:c r="M89" s="32" t="str">
        <x:v>Medio</x:v>
      </x:c>
      <x:c r="N89" s="32" t="str">
        <x:v>Servicio de resumen implementado; componente frontend de resumen de asistencia por estudiante</x:v>
      </x:c>
      <x:c r="O89" s="110" t="str">
        <x:v>2026-05-30</x:v>
      </x:c>
      <x:c r="P89" s="110" t="str">
        <x:v>Pendiente</x:v>
      </x:c>
    </x:row>
    <x:row r="90">
      <x:c r="A90" s="60" t="str">
        <x:v>INT-007 Registro de asistencia</x:v>
      </x:c>
      <x:c r="B90" s="32" t="str">
        <x:v>INT-007-BOLT-008</x:v>
      </x:c>
      <x:c r="C90" s="32" t="str">
        <x:v>Generar alerta por inasistencia frecuente</x:v>
      </x:c>
      <x:c r="D90" s="32" t="str">
        <x:v>Asistencia</x:v>
      </x:c>
      <x:c r="E90" s="32" t="str">
        <x:v>No</x:v>
      </x:c>
      <x:c r="F90" s="32" t="str">
        <x:v>No se encontró evidencia en el repositorio</x:v>
      </x:c>
      <x:c r="G90" s="32" t="str">
        <x:v>No</x:v>
      </x:c>
      <x:c r="H90" s="32" t="str">
        <x:v>No aplica</x:v>
      </x:c>
      <x:c r="I90" s="32" t="str">
        <x:v>Pendiente</x:v>
      </x:c>
      <x:c r="J90" s="32" t="str">
        <x:v>Alta</x:v>
      </x:c>
      <x:c r="K90" s="32" t="str">
        <x:v>Ernesto Marcial Constantino Chuchon Sotelo</x:v>
      </x:c>
      <x:c r="L90" s="32" t="str">
        <x:v>Backend</x:v>
      </x:c>
      <x:c r="M90" s="32" t="str">
        <x:v>Alto</x:v>
      </x:c>
      <x:c r="N90" s="32" t="str">
        <x:v>No existe lógica automática de alerta por inasistencia frecuente; funcionalidad pendiente</x:v>
      </x:c>
      <x:c r="O90" s="110" t="str">
        <x:v>2026-07-15</x:v>
      </x:c>
      <x:c r="P90" s="110" t="str">
        <x:v>Pendiente</x:v>
      </x:c>
    </x:row>
    <x:row r="91">
      <x:c r="A91" s="60" t="str">
        <x:v>INT-007 Registro de asistencia</x:v>
      </x:c>
      <x:c r="B91" s="32" t="str">
        <x:v>INT-007-BOLT-009</x:v>
      </x:c>
      <x:c r="C91" s="32" t="str">
        <x:v>Permitir registro por auxiliar o tutor</x:v>
      </x:c>
      <x:c r="D91" s="32" t="str">
        <x:v>Asistencia</x:v>
      </x:c>
      <x:c r="E91" s="32" t="str">
        <x:v>Sí</x:v>
      </x:c>
      <x:c r="F91" s="32" t="str">
        <x:v>backend/app/Services/Curricular/AsistenciaDiariaAuthService.php, backend/routes/api.php (permission:registrar_asistencia_curricular)</x:v>
      </x:c>
      <x:c r="G91" s="32" t="str">
        <x:v>Sí</x:v>
      </x:c>
      <x:c r="H91" s="32" t="str">
        <x:v>backend/tests/Feature/Curricular/AsistenciaDiariaTest.php</x:v>
      </x:c>
      <x:c r="I91" s="32" t="str">
        <x:v>En proceso</x:v>
      </x:c>
      <x:c r="J91" s="32" t="str">
        <x:v>Media</x:v>
      </x:c>
      <x:c r="K91" s="32" t="str">
        <x:v>Ernesto Marcial Constantino Chuchon Sotelo</x:v>
      </x:c>
      <x:c r="L91" s="32" t="str">
        <x:v>Backend</x:v>
      </x:c>
      <x:c r="M91" s="32" t="str">
        <x:v>Bajo</x:v>
      </x:c>
      <x:c r="N91" s="32" t="str">
        <x:v>Servicio de autorización para registro de asistencia; permisos por rol configurados</x:v>
      </x:c>
      <x:c r="O91" s="110" t="str">
        <x:v>2026-05-27</x:v>
      </x:c>
      <x:c r="P91" s="110" t="str">
        <x:v>Pendiente</x:v>
      </x:c>
    </x:row>
    <x:row r="92">
      <x:c r="A92" s="60" t="str">
        <x:v>INT-007 Registro de asistencia</x:v>
      </x:c>
      <x:c r="B92" s="32" t="str">
        <x:v>INT-007-BOLT-010</x:v>
      </x:c>
      <x:c r="C92" s="32" t="str">
        <x:v>Probar flujo de asistencia por aula</x:v>
      </x:c>
      <x:c r="D92" s="32" t="str">
        <x:v>Pruebas</x:v>
      </x:c>
      <x:c r="E92" s="32" t="str">
        <x:v>Sí</x:v>
      </x:c>
      <x:c r="F92" s="32" t="str">
        <x:v>backend/tests/Feature/Curricular/AsistenciaDiariaTest.php (16KB)</x:v>
      </x:c>
      <x:c r="G92" s="32" t="str">
        <x:v>Sí</x:v>
      </x:c>
      <x:c r="H92" s="32" t="str">
        <x:v>php artisan test --filter=AsistenciaDiariaTest</x:v>
      </x:c>
      <x:c r="I92" s="32" t="str">
        <x:v>Completado</x:v>
      </x:c>
      <x:c r="J92" s="32" t="str">
        <x:v>Alta</x:v>
      </x:c>
      <x:c r="K92" s="32" t="str">
        <x:v>Equipo SIDERAE</x:v>
      </x:c>
      <x:c r="L92" s="32" t="str">
        <x:v>Pruebas</x:v>
      </x:c>
      <x:c r="M92" s="32" t="str">
        <x:v>Bajo</x:v>
      </x:c>
      <x:c r="N92" s="32" t="str">
        <x:v>Tests de asistencia diaria con bulk, formulario y resumen</x:v>
      </x:c>
      <x:c r="O92" s="110" t="str">
        <x:v>2026-05-27</x:v>
      </x:c>
      <x:c r="P92" s="110" t="str">
        <x:v>2026-05-27</x:v>
      </x:c>
    </x:row>
    <x:row r="93">
      <x:c r="A93" s="60" t="str">
        <x:v>INT-007 Registro de asistencia</x:v>
      </x:c>
      <x:c r="B93" s="32" t="str">
        <x:v>INT-007-BOLT-011</x:v>
      </x:c>
      <x:c r="C93" s="32" t="str">
        <x:v>Implementar panel frontend de asistencia curricular</x:v>
      </x:c>
      <x:c r="D93" s="32" t="str">
        <x:v>Frontend</x:v>
      </x:c>
      <x:c r="E93" s="32" t="str">
        <x:v>Sí</x:v>
      </x:c>
      <x:c r="F93" s="32" t="str">
        <x:v>frontend/src/components/curricular/asistencia/AsistenciaCurricularPanel.jsx, frontend/src/components/curricular/asistencia/AsistenciaFiltros.jsx, frontend/src/components/curricular/asistencia/AsistenciaTabla.jsx, frontend/src/components/curricular/asistencia/AsistenciaToolbar.jsx</x:v>
      </x:c>
      <x:c r="G93" s="32" t="str">
        <x:v>No</x:v>
      </x:c>
      <x:c r="H93" s="32" t="str">
        <x:v>Pendiente de adjuntar</x:v>
      </x:c>
      <x:c r="I93" s="32" t="str">
        <x:v>Observado</x:v>
      </x:c>
      <x:c r="J93" s="32" t="str">
        <x:v>Alta</x:v>
      </x:c>
      <x:c r="K93" s="32" t="str">
        <x:v>Diego Ricardo Carhuamaca Vasquez</x:v>
      </x:c>
      <x:c r="L93" s="32" t="str">
        <x:v>Frontend</x:v>
      </x:c>
      <x:c r="M93" s="32" t="str">
        <x:v>Bajo</x:v>
      </x:c>
      <x:c r="N93" s="32" t="str">
        <x:v>Panel completo de asistencia con filtros, tabla y toolbar. Bolt adicional detectado. Corrección QA: Está completado, pero no tiene evidencia de pruebas ejecutadas.</x:v>
      </x:c>
      <x:c r="O93" s="110" t="str">
        <x:v>2026-05-27</x:v>
      </x:c>
      <x:c r="P93" s="110" t="str">
        <x:v>2026-05-30</x:v>
      </x:c>
    </x:row>
    <x:row r="94">
      <x:c r="A94" s="64" t="str">
        <x:v>INT-008 ETA / Fast Test</x:v>
      </x:c>
      <x:c r="B94" s="32" t="str">
        <x:v>INT-008-BOLT-001</x:v>
      </x:c>
      <x:c r="C94" s="32" t="str">
        <x:v>Crear estructura para resultados ETA o Fast Test</x:v>
      </x:c>
      <x:c r="D94" s="32" t="str">
        <x:v>ETA / Fast Test</x:v>
      </x:c>
      <x:c r="E94" s="32" t="str">
        <x:v>Sí</x:v>
      </x:c>
      <x:c r="F94" s="32" t="str">
        <x:v>backend/app/Models/Curricular/EvalBimEtaItem.php, backend/app/Models/Curricular/EvalBimNotaEta.php, backend/database/migrations/2026_05_26_100000_create_eval_bimestral_tables.php</x:v>
      </x:c>
      <x:c r="G94" s="32" t="str">
        <x:v>Sí</x:v>
      </x:c>
      <x:c r="H94" s="32" t="str">
        <x:v>backend/tests/Feature/Curricular/EvaluacionBimestralTest.php</x:v>
      </x:c>
      <x:c r="I94" s="32" t="str">
        <x:v>Completado</x:v>
      </x:c>
      <x:c r="J94" s="32" t="str">
        <x:v>Alta</x:v>
      </x:c>
      <x:c r="K94" s="32" t="str">
        <x:v>Ernesto Marcial Constantino Chuchon Sotelo</x:v>
      </x:c>
      <x:c r="L94" s="32" t="str">
        <x:v>Base de datos</x:v>
      </x:c>
      <x:c r="M94" s="32" t="str">
        <x:v>Bajo</x:v>
      </x:c>
      <x:c r="N94" s="32" t="str">
        <x:v>ETA integrado en evaluación bimestral como componentes tipo ETA con ítems y notas</x:v>
      </x:c>
      <x:c r="O94" s="110" t="str">
        <x:v>2026-05-26</x:v>
      </x:c>
      <x:c r="P94" s="110" t="str">
        <x:v>2026-05-30</x:v>
      </x:c>
    </x:row>
    <x:row r="95">
      <x:c r="A95" s="64" t="str">
        <x:v>INT-008 ETA / Fast Test</x:v>
      </x:c>
      <x:c r="B95" s="32" t="str">
        <x:v>INT-008-BOLT-002</x:v>
      </x:c>
      <x:c r="C95" s="32" t="str">
        <x:v>Registrar resultado ETA por estudiante</x:v>
      </x:c>
      <x:c r="D95" s="32" t="str">
        <x:v>ETA / Fast Test</x:v>
      </x:c>
      <x:c r="E95" s="32" t="str">
        <x:v>Sí</x:v>
      </x:c>
      <x:c r="F95" s="32" t="str">
        <x:v>backend/app/Http/Controllers/Api/Curricular/EvaluacionBimestralController.php (storeEta, bulk con notas ETA)</x:v>
      </x:c>
      <x:c r="G95" s="32" t="str">
        <x:v>Sí</x:v>
      </x:c>
      <x:c r="H95" s="32" t="str">
        <x:v>backend/tests/Feature/Curricular/EvaluacionBimestralApiTest.php</x:v>
      </x:c>
      <x:c r="I95" s="32" t="str">
        <x:v>Completado</x:v>
      </x:c>
      <x:c r="J95" s="32" t="str">
        <x:v>Alta</x:v>
      </x:c>
      <x:c r="K95" s="32" t="str">
        <x:v>Diego Ricardo Carhuamaca Vasquez</x:v>
      </x:c>
      <x:c r="L95" s="32" t="str">
        <x:v>Backend</x:v>
      </x:c>
      <x:c r="M95" s="32" t="str">
        <x:v>Bajo</x:v>
      </x:c>
      <x:c r="N95" s="32" t="str">
        <x:v>Registro de notas ETA por estudiante vía endpoint de evaluación bimestral</x:v>
      </x:c>
      <x:c r="O95" s="110" t="str">
        <x:v>2026-05-26</x:v>
      </x:c>
      <x:c r="P95" s="110" t="str">
        <x:v>2026-05-30</x:v>
      </x:c>
    </x:row>
    <x:row r="96">
      <x:c r="A96" s="64" t="str">
        <x:v>INT-008 ETA / Fast Test</x:v>
      </x:c>
      <x:c r="B96" s="32" t="str">
        <x:v>INT-008-BOLT-003</x:v>
      </x:c>
      <x:c r="C96" s="32" t="str">
        <x:v>Asociar ETA con curso, área o competencia</x:v>
      </x:c>
      <x:c r="D96" s="32" t="str">
        <x:v>ETA / Fast Test</x:v>
      </x:c>
      <x:c r="E96" s="32" t="str">
        <x:v>Sí</x:v>
      </x:c>
      <x:c r="F96" s="32" t="str">
        <x:v>backend/app/Models/Curricular/EvalBimComponente.php (relación con malla_curso), backend/app/Services/Curricular/EvaluacionBimestral/EvaluacionComponentesResolver.php</x:v>
      </x:c>
      <x:c r="G96" s="32" t="str">
        <x:v>Sí</x:v>
      </x:c>
      <x:c r="H96" s="32" t="str">
        <x:v>backend/tests/Feature/Curricular/EvaluacionBimestralTest.php</x:v>
      </x:c>
      <x:c r="I96" s="32" t="str">
        <x:v>Completado</x:v>
      </x:c>
      <x:c r="J96" s="32" t="str">
        <x:v>Alta</x:v>
      </x:c>
      <x:c r="K96" s="32" t="str">
        <x:v>Ernesto Marcial Constantino Chuchon Sotelo</x:v>
      </x:c>
      <x:c r="L96" s="32" t="str">
        <x:v>Backend</x:v>
      </x:c>
      <x:c r="M96" s="32" t="str">
        <x:v>Bajo</x:v>
      </x:c>
      <x:c r="N96" s="32" t="str">
        <x:v>ETA asociado a componente de evaluación bimestral vinculado a malla_curso</x:v>
      </x:c>
      <x:c r="O96" s="110" t="str">
        <x:v>2026-05-26</x:v>
      </x:c>
      <x:c r="P96" s="110" t="str">
        <x:v>2026-05-30</x:v>
      </x:c>
    </x:row>
    <x:row r="97">
      <x:c r="A97" s="64" t="str">
        <x:v>INT-008 ETA / Fast Test</x:v>
      </x:c>
      <x:c r="B97" s="32" t="str">
        <x:v>INT-008-BOLT-004</x:v>
      </x:c>
      <x:c r="C97" s="32" t="str">
        <x:v>Registrar resultado por bimestre</x:v>
      </x:c>
      <x:c r="D97" s="32" t="str">
        <x:v>ETA / Fast Test</x:v>
      </x:c>
      <x:c r="E97" s="32" t="str">
        <x:v>Sí</x:v>
      </x:c>
      <x:c r="F97" s="32" t="str">
        <x:v>backend/app/Models/Curricular/EvalBimResultado.php (relación con periodo_academico/bimestre)</x:v>
      </x:c>
      <x:c r="G97" s="32" t="str">
        <x:v>Sí</x:v>
      </x:c>
      <x:c r="H97" s="32" t="str">
        <x:v>backend/tests/Feature/Curricular/EvaluacionBimestralTest.php</x:v>
      </x:c>
      <x:c r="I97" s="32" t="str">
        <x:v>Completado</x:v>
      </x:c>
      <x:c r="J97" s="32" t="str">
        <x:v>Alta</x:v>
      </x:c>
      <x:c r="K97" s="32" t="str">
        <x:v>Diego Ricardo Carhuamaca Vasquez</x:v>
      </x:c>
      <x:c r="L97" s="32" t="str">
        <x:v>Backend</x:v>
      </x:c>
      <x:c r="M97" s="32" t="str">
        <x:v>Bajo</x:v>
      </x:c>
      <x:c r="N97" s="32" t="str">
        <x:v>Resultados ETA vinculados a periodo académico (bimestre)</x:v>
      </x:c>
      <x:c r="O97" s="110" t="str">
        <x:v>2026-05-26</x:v>
      </x:c>
      <x:c r="P97" s="110" t="str">
        <x:v>2026-05-30</x:v>
      </x:c>
    </x:row>
    <x:row r="98">
      <x:c r="A98" s="64" t="str">
        <x:v>INT-008 ETA / Fast Test</x:v>
      </x:c>
      <x:c r="B98" s="32" t="str">
        <x:v>INT-008-BOLT-005</x:v>
      </x:c>
      <x:c r="C98" s="32" t="str">
        <x:v>Importar resultados ETA desde archivo</x:v>
      </x:c>
      <x:c r="D98" s="32" t="str">
        <x:v>ETA / Fast Test</x:v>
      </x:c>
      <x:c r="E98" s="32" t="str">
        <x:v>No</x:v>
      </x:c>
      <x:c r="F98" s="32" t="str">
        <x:v>No se encontró evidencia en el repositorio</x:v>
      </x:c>
      <x:c r="G98" s="32" t="str">
        <x:v>No</x:v>
      </x:c>
      <x:c r="H98" s="32" t="str">
        <x:v>No aplica</x:v>
      </x:c>
      <x:c r="I98" s="32" t="str">
        <x:v>Pendiente</x:v>
      </x:c>
      <x:c r="J98" s="32" t="str">
        <x:v>Media</x:v>
      </x:c>
      <x:c r="K98" s="32" t="str">
        <x:v>Diego Ricardo Carhuamaca Vasquez</x:v>
      </x:c>
      <x:c r="L98" s="32" t="str">
        <x:v>Backend</x:v>
      </x:c>
      <x:c r="M98" s="32" t="str">
        <x:v>Medio</x:v>
      </x:c>
      <x:c r="N98" s="32" t="str">
        <x:v>No existe importador de ETA desde archivo; funcionalidad pendiente</x:v>
      </x:c>
      <x:c r="O98" s="110" t="str">
        <x:v>2026-07-15</x:v>
      </x:c>
      <x:c r="P98" s="110" t="str">
        <x:v>Pendiente</x:v>
      </x:c>
    </x:row>
    <x:row r="99">
      <x:c r="A99" s="64" t="str">
        <x:v>INT-008 ETA / Fast Test</x:v>
      </x:c>
      <x:c r="B99" s="32" t="str">
        <x:v>INT-008-BOLT-006</x:v>
      </x:c>
      <x:c r="C99" s="32" t="str">
        <x:v>Incorporar ETA como variable del riesgo académico</x:v>
      </x:c>
      <x:c r="D99" s="32" t="str">
        <x:v>ETA / Fast Test</x:v>
      </x:c>
      <x:c r="E99" s="32" t="str">
        <x:v>Sí</x:v>
      </x:c>
      <x:c r="F99" s="32" t="str">
        <x:v>ml-service/main.py (fast_test_puntaje como variable del cálculo de riesgo)</x:v>
      </x:c>
      <x:c r="G99" s="32" t="str">
        <x:v>Sí</x:v>
      </x:c>
      <x:c r="H99" s="32" t="str">
        <x:v>backend/tests/Feature/RiesgoTest.php</x:v>
      </x:c>
      <x:c r="I99" s="32" t="str">
        <x:v>Completado</x:v>
      </x:c>
      <x:c r="J99" s="32" t="str">
        <x:v>Alta</x:v>
      </x:c>
      <x:c r="K99" s="32" t="str">
        <x:v>Ernesto Marcial Constantino Chuchon Sotelo</x:v>
      </x:c>
      <x:c r="L99" s="32" t="str">
        <x:v>ML</x:v>
      </x:c>
      <x:c r="M99" s="32" t="str">
        <x:v>Bajo</x:v>
      </x:c>
      <x:c r="N99" s="32" t="str">
        <x:v>fast_test_puntaje incorporado en cálculo determinístico del microservicio Flask con peso 0.06</x:v>
      </x:c>
      <x:c r="O99" s="110" t="str">
        <x:v>2026-05-26</x:v>
      </x:c>
      <x:c r="P99" s="110" t="str">
        <x:v>2026-05-30</x:v>
      </x:c>
    </x:row>
    <x:row r="100">
      <x:c r="A100" s="64" t="str">
        <x:v>INT-008 ETA / Fast Test</x:v>
      </x:c>
      <x:c r="B100" s="32" t="str">
        <x:v>INT-008-BOLT-007</x:v>
      </x:c>
      <x:c r="C100" s="32" t="str">
        <x:v>Mostrar ETA en perfil del estudiante</x:v>
      </x:c>
      <x:c r="D100" s="32" t="str">
        <x:v>ETA / Fast Test</x:v>
      </x:c>
      <x:c r="E100" s="32" t="str">
        <x:v>No</x:v>
      </x:c>
      <x:c r="F100" s="32" t="str">
        <x:v>Pendiente de adjuntar</x:v>
      </x:c>
      <x:c r="G100" s="32" t="str">
        <x:v>No</x:v>
      </x:c>
      <x:c r="H100" s="32" t="str">
        <x:v>No aplica</x:v>
      </x:c>
      <x:c r="I100" s="32" t="str">
        <x:v>Pendiente</x:v>
      </x:c>
      <x:c r="J100" s="32" t="str">
        <x:v>Media</x:v>
      </x:c>
      <x:c r="K100" s="32" t="str">
        <x:v>Diego Ricardo Carhuamaca Vasquez</x:v>
      </x:c>
      <x:c r="L100" s="32" t="str">
        <x:v>Frontend</x:v>
      </x:c>
      <x:c r="M100" s="32" t="str">
        <x:v>Medio</x:v>
      </x:c>
      <x:c r="N100" s="32" t="str">
        <x:v>No se encontró componente frontend específico para mostrar ETA en perfil del estudiante</x:v>
      </x:c>
      <x:c r="O100" s="110" t="str">
        <x:v>2026-07-15</x:v>
      </x:c>
      <x:c r="P100" s="110" t="str">
        <x:v>Pendiente</x:v>
      </x:c>
    </x:row>
    <x:row r="101">
      <x:c r="A101" s="64" t="str">
        <x:v>INT-008 ETA / Fast Test</x:v>
      </x:c>
      <x:c r="B101" s="32" t="str">
        <x:v>INT-008-BOLT-008</x:v>
      </x:c>
      <x:c r="C101" s="32" t="str">
        <x:v>Probar cálculo de riesgo considerando ETA</x:v>
      </x:c>
      <x:c r="D101" s="32" t="str">
        <x:v>Pruebas</x:v>
      </x:c>
      <x:c r="E101" s="32" t="str">
        <x:v>Sí</x:v>
      </x:c>
      <x:c r="F101" s="32" t="str">
        <x:v>backend/tests/Feature/RiesgoTest.php, backend/tests/Feature/Curricular/EvaluacionBimestralTest.php</x:v>
      </x:c>
      <x:c r="G101" s="32" t="str">
        <x:v>Sí</x:v>
      </x:c>
      <x:c r="H101" s="32" t="str">
        <x:v>php artisan test --filter=RiesgoTest</x:v>
      </x:c>
      <x:c r="I101" s="32" t="str">
        <x:v>Completado</x:v>
      </x:c>
      <x:c r="J101" s="32" t="str">
        <x:v>Alta</x:v>
      </x:c>
      <x:c r="K101" s="32" t="str">
        <x:v>Equipo SIDERAE</x:v>
      </x:c>
      <x:c r="L101" s="32" t="str">
        <x:v>Pruebas</x:v>
      </x:c>
      <x:c r="M101" s="32" t="str">
        <x:v>Bajo</x:v>
      </x:c>
      <x:c r="N101" s="32" t="str">
        <x:v>Tests de riesgo verifican inclusión de fast_test en el cálculo</x:v>
      </x:c>
      <x:c r="O101" s="110" t="str">
        <x:v>2026-05-30</x:v>
      </x:c>
      <x:c r="P101" s="110" t="str">
        <x:v>2026-05-30</x:v>
      </x:c>
    </x:row>
    <x:row r="102">
      <x:c r="A102" s="64" t="str">
        <x:v>INT-008 ETA / Fast Test</x:v>
      </x:c>
      <x:c r="B102" s="32" t="str">
        <x:v>INT-008-BOLT-009</x:v>
      </x:c>
      <x:c r="C102" s="32" t="str">
        <x:v>Calcular participación ETA por aula</x:v>
      </x:c>
      <x:c r="D102" s="32" t="str">
        <x:v>ETA / Fast Test</x:v>
      </x:c>
      <x:c r="E102" s="32" t="str">
        <x:v>Sí</x:v>
      </x:c>
      <x:c r="F102" s="32" t="str">
        <x:v>backend/app/Services/Curricular/EvaluacionBimestral/EtaParticipacionPorAulaService.php, backend/app/Services/Curricular/EvaluacionBimestral/PromedioEtaService.php</x:v>
      </x:c>
      <x:c r="G102" s="32" t="str">
        <x:v>Sí</x:v>
      </x:c>
      <x:c r="H102" s="32" t="str">
        <x:v>backend/tests/Feature/Curricular/EvaluacionBimestralTest.php</x:v>
      </x:c>
      <x:c r="I102" s="32" t="str">
        <x:v>Completado</x:v>
      </x:c>
      <x:c r="J102" s="32" t="str">
        <x:v>Media</x:v>
      </x:c>
      <x:c r="K102" s="32" t="str">
        <x:v>Ernesto Marcial Constantino Chuchon Sotelo</x:v>
      </x:c>
      <x:c r="L102" s="32" t="str">
        <x:v>Backend</x:v>
      </x:c>
      <x:c r="M102" s="32" t="str">
        <x:v>Bajo</x:v>
      </x:c>
      <x:c r="N102" s="32" t="str">
        <x:v>Servicios de participación y promedio ETA por aula. Bolt adicional detectado.</x:v>
      </x:c>
      <x:c r="O102" s="110" t="str">
        <x:v>2026-05-30</x:v>
      </x:c>
      <x:c r="P102" s="110" t="str">
        <x:v>2026-05-30</x:v>
      </x:c>
    </x:row>
    <x:row r="103">
      <x:c r="A103" s="68" t="str">
        <x:v>INT-009 Reportes conductuales y tutoría</x:v>
      </x:c>
      <x:c r="B103" s="32" t="str">
        <x:v>INT-009-BOLT-001</x:v>
      </x:c>
      <x:c r="C103" s="32" t="str">
        <x:v>Crear modelo de reporte conductual</x:v>
      </x:c>
      <x:c r="D103" s="32" t="str">
        <x:v>Reportes conductuales</x:v>
      </x:c>
      <x:c r="E103" s="32" t="str">
        <x:v>Sí</x:v>
      </x:c>
      <x:c r="F103" s="32" t="str">
        <x:v>backend/app/Models/ReporteConductual.php, backend/database/migrations/2026_04_23_024257_create_reportes_conductuales_table.php</x:v>
      </x:c>
      <x:c r="G103" s="32" t="str">
        <x:v>No</x:v>
      </x:c>
      <x:c r="H103" s="32" t="str">
        <x:v>Pendiente de adjuntar</x:v>
      </x:c>
      <x:c r="I103" s="32" t="str">
        <x:v>Observado</x:v>
      </x:c>
      <x:c r="J103" s="32" t="str">
        <x:v>Alta</x:v>
      </x:c>
      <x:c r="K103" s="32" t="str">
        <x:v>Ernesto Marcial Constantino Chuchon Sotelo</x:v>
      </x:c>
      <x:c r="L103" s="32" t="str">
        <x:v>Base de datos</x:v>
      </x:c>
      <x:c r="M103" s="32" t="str">
        <x:v>Bajo</x:v>
      </x:c>
      <x:c r="N103" s="32" t="str">
        <x:v>Modelo con fillable: estudiante_id, registrado_por, fecha, tipo_conducta, descripcion, nivel_gravedad, accion_inmediata Corrección QA: Está completado, pero no tiene evidencia de pruebas ejecutadas.</x:v>
      </x:c>
      <x:c r="O103" s="110" t="str">
        <x:v>2026-04-23</x:v>
      </x:c>
      <x:c r="P103" s="110" t="str">
        <x:v>2026-04-23</x:v>
      </x:c>
    </x:row>
    <x:row r="104">
      <x:c r="A104" s="68" t="str">
        <x:v>INT-009 Reportes conductuales y tutoría</x:v>
      </x:c>
      <x:c r="B104" s="32" t="str">
        <x:v>INT-009-BOLT-002</x:v>
      </x:c>
      <x:c r="C104" s="32" t="str">
        <x:v>Registrar observación conductual</x:v>
      </x:c>
      <x:c r="D104" s="32" t="str">
        <x:v>Reportes conductuales</x:v>
      </x:c>
      <x:c r="E104" s="32" t="str">
        <x:v>No</x:v>
      </x:c>
      <x:c r="F104" s="32" t="str">
        <x:v>No se encontró controlador de ReporteConductual en el repositorio</x:v>
      </x:c>
      <x:c r="G104" s="32" t="str">
        <x:v>No</x:v>
      </x:c>
      <x:c r="H104" s="32" t="str">
        <x:v>No aplica</x:v>
      </x:c>
      <x:c r="I104" s="32" t="str">
        <x:v>Pendiente</x:v>
      </x:c>
      <x:c r="J104" s="32" t="str">
        <x:v>Alta</x:v>
      </x:c>
      <x:c r="K104" s="32" t="str">
        <x:v>Diego Ricardo Carhuamaca Vasquez</x:v>
      </x:c>
      <x:c r="L104" s="32" t="str">
        <x:v>Backend</x:v>
      </x:c>
      <x:c r="M104" s="32" t="str">
        <x:v>Alto</x:v>
      </x:c>
      <x:c r="N104" s="32" t="str">
        <x:v>Modelo existe pero no hay controller ni endpoints API para CRUD de reportes conductuales</x:v>
      </x:c>
      <x:c r="O104" s="110" t="str">
        <x:v>2026-07-15</x:v>
      </x:c>
      <x:c r="P104" s="110" t="str">
        <x:v>Pendiente</x:v>
      </x:c>
    </x:row>
    <x:row r="105">
      <x:c r="A105" s="68" t="str">
        <x:v>INT-009 Reportes conductuales y tutoría</x:v>
      </x:c>
      <x:c r="B105" s="32" t="str">
        <x:v>INT-009-BOLT-003</x:v>
      </x:c>
      <x:c r="C105" s="32" t="str">
        <x:v>Clasificar reporte por tipo</x:v>
      </x:c>
      <x:c r="D105" s="32" t="str">
        <x:v>Reportes conductuales</x:v>
      </x:c>
      <x:c r="E105" s="32" t="str">
        <x:v>Sí</x:v>
      </x:c>
      <x:c r="F105" s="32" t="str">
        <x:v>backend/app/Models/ReporteConductual.php (campo tipo_conducta)</x:v>
      </x:c>
      <x:c r="G105" s="32" t="str">
        <x:v>No</x:v>
      </x:c>
      <x:c r="H105" s="32" t="str">
        <x:v>No aplica</x:v>
      </x:c>
      <x:c r="I105" s="32" t="str">
        <x:v>En proceso</x:v>
      </x:c>
      <x:c r="J105" s="32" t="str">
        <x:v>Media</x:v>
      </x:c>
      <x:c r="K105" s="32" t="str">
        <x:v>Ernesto Marcial Constantino Chuchon Sotelo</x:v>
      </x:c>
      <x:c r="L105" s="32" t="str">
        <x:v>Backend</x:v>
      </x:c>
      <x:c r="M105" s="32" t="str">
        <x:v>Medio</x:v>
      </x:c>
      <x:c r="N105" s="32" t="str">
        <x:v>Campo tipo_conducta en modelo; falta catálogo de tipos y validación</x:v>
      </x:c>
      <x:c r="O105" s="110" t="str">
        <x:v>2026-07-15</x:v>
      </x:c>
      <x:c r="P105" s="110" t="str">
        <x:v>Pendiente</x:v>
      </x:c>
    </x:row>
    <x:row r="106">
      <x:c r="A106" s="68" t="str">
        <x:v>INT-009 Reportes conductuales y tutoría</x:v>
      </x:c>
      <x:c r="B106" s="32" t="str">
        <x:v>INT-009-BOLT-004</x:v>
      </x:c>
      <x:c r="C106" s="32" t="str">
        <x:v>Asociar reporte con estudiante y responsable</x:v>
      </x:c>
      <x:c r="D106" s="32" t="str">
        <x:v>Reportes conductuales</x:v>
      </x:c>
      <x:c r="E106" s="32" t="str">
        <x:v>Sí</x:v>
      </x:c>
      <x:c r="F106" s="32" t="str">
        <x:v>backend/app/Models/ReporteConductual.php (relación estudiante BelongsTo, registrado_por fillable)</x:v>
      </x:c>
      <x:c r="G106" s="32" t="str">
        <x:v>No</x:v>
      </x:c>
      <x:c r="H106" s="32" t="str">
        <x:v>No aplica</x:v>
      </x:c>
      <x:c r="I106" s="32" t="str">
        <x:v>En proceso</x:v>
      </x:c>
      <x:c r="J106" s="32" t="str">
        <x:v>Media</x:v>
      </x:c>
      <x:c r="K106" s="32" t="str">
        <x:v>Ernesto Marcial Constantino Chuchon Sotelo</x:v>
      </x:c>
      <x:c r="L106" s="32" t="str">
        <x:v>Backend</x:v>
      </x:c>
      <x:c r="M106" s="32" t="str">
        <x:v>Medio</x:v>
      </x:c>
      <x:c r="N106" s="32" t="str">
        <x:v>Relación con estudiante implementada; falta relación BelongsTo con User para registrado_por</x:v>
      </x:c>
      <x:c r="O106" s="110" t="str">
        <x:v>2026-04-23</x:v>
      </x:c>
      <x:c r="P106" s="110" t="str">
        <x:v>Pendiente</x:v>
      </x:c>
    </x:row>
    <x:row r="107">
      <x:c r="A107" s="68" t="str">
        <x:v>INT-009 Reportes conductuales y tutoría</x:v>
      </x:c>
      <x:c r="B107" s="32" t="str">
        <x:v>INT-009-BOLT-005</x:v>
      </x:c>
      <x:c r="C107" s="32" t="str">
        <x:v>Mostrar reportes en perfil del estudiante</x:v>
      </x:c>
      <x:c r="D107" s="32" t="str">
        <x:v>Reportes conductuales</x:v>
      </x:c>
      <x:c r="E107" s="32" t="str">
        <x:v>Sí</x:v>
      </x:c>
      <x:c r="F107" s="32" t="str">
        <x:v>backend/app/Models/Estudiante.php (relación reportesConductuales HasMany)</x:v>
      </x:c>
      <x:c r="G107" s="32" t="str">
        <x:v>No</x:v>
      </x:c>
      <x:c r="H107" s="32" t="str">
        <x:v>No aplica</x:v>
      </x:c>
      <x:c r="I107" s="32" t="str">
        <x:v>Pendiente</x:v>
      </x:c>
      <x:c r="J107" s="32" t="str">
        <x:v>Media</x:v>
      </x:c>
      <x:c r="K107" s="32" t="str">
        <x:v>Diego Ricardo Carhuamaca Vasquez</x:v>
      </x:c>
      <x:c r="L107" s="32" t="str">
        <x:v>Frontend</x:v>
      </x:c>
      <x:c r="M107" s="32" t="str">
        <x:v>Medio</x:v>
      </x:c>
      <x:c r="N107" s="32" t="str">
        <x:v>Relación en modelo Estudiante existe; falta componente frontend para mostrar reportes</x:v>
      </x:c>
      <x:c r="O107" s="110" t="str">
        <x:v>2026-07-15</x:v>
      </x:c>
      <x:c r="P107" s="110" t="str">
        <x:v>Pendiente</x:v>
      </x:c>
    </x:row>
    <x:row r="108">
      <x:c r="A108" s="68" t="str">
        <x:v>INT-009 Reportes conductuales y tutoría</x:v>
      </x:c>
      <x:c r="B108" s="32" t="str">
        <x:v>INT-009-BOLT-006</x:v>
      </x:c>
      <x:c r="C108" s="32" t="str">
        <x:v>Incorporar reportes conductuales al análisis de riesgo</x:v>
      </x:c>
      <x:c r="D108" s="32" t="str">
        <x:v>Reportes conductuales</x:v>
      </x:c>
      <x:c r="E108" s="32" t="str">
        <x:v>Sí</x:v>
      </x:c>
      <x:c r="F108" s="32" t="str">
        <x:v>ml-service/main.py (reportes_conductuales como variable con peso 0.14)</x:v>
      </x:c>
      <x:c r="G108" s="32" t="str">
        <x:v>Sí</x:v>
      </x:c>
      <x:c r="H108" s="32" t="str">
        <x:v>backend/tests/Feature/RiesgoTest.php</x:v>
      </x:c>
      <x:c r="I108" s="32" t="str">
        <x:v>Completado</x:v>
      </x:c>
      <x:c r="J108" s="32" t="str">
        <x:v>Alta</x:v>
      </x:c>
      <x:c r="K108" s="32" t="str">
        <x:v>Ernesto Marcial Constantino Chuchon Sotelo</x:v>
      </x:c>
      <x:c r="L108" s="32" t="str">
        <x:v>ML</x:v>
      </x:c>
      <x:c r="M108" s="32" t="str">
        <x:v>Bajo</x:v>
      </x:c>
      <x:c r="N108" s="32" t="str">
        <x:v>reportes_conductuales incorporado en cálculo de riesgo del microservicio Flask</x:v>
      </x:c>
      <x:c r="O108" s="110" t="str">
        <x:v>2026-04-23</x:v>
      </x:c>
      <x:c r="P108" s="110" t="str">
        <x:v>2026-05-05</x:v>
      </x:c>
    </x:row>
    <x:row r="109">
      <x:c r="A109" s="68" t="str">
        <x:v>INT-009 Reportes conductuales y tutoría</x:v>
      </x:c>
      <x:c r="B109" s="32" t="str">
        <x:v>INT-009-BOLT-007</x:v>
      </x:c>
      <x:c r="C109" s="32" t="str">
        <x:v>Probar registro de reporte por docente</x:v>
      </x:c>
      <x:c r="D109" s="32" t="str">
        <x:v>Pruebas</x:v>
      </x:c>
      <x:c r="E109" s="32" t="str">
        <x:v>No</x:v>
      </x:c>
      <x:c r="F109" s="32" t="str">
        <x:v>No se encontró evidencia en el repositorio</x:v>
      </x:c>
      <x:c r="G109" s="32" t="str">
        <x:v>No</x:v>
      </x:c>
      <x:c r="H109" s="32" t="str">
        <x:v>No aplica</x:v>
      </x:c>
      <x:c r="I109" s="32" t="str">
        <x:v>Pendiente</x:v>
      </x:c>
      <x:c r="J109" s="32" t="str">
        <x:v>Alta</x:v>
      </x:c>
      <x:c r="K109" s="32" t="str">
        <x:v>Equipo SIDERAE</x:v>
      </x:c>
      <x:c r="L109" s="32" t="str">
        <x:v>Pruebas</x:v>
      </x:c>
      <x:c r="M109" s="32" t="str">
        <x:v>Alto</x:v>
      </x:c>
      <x:c r="N109" s="32" t="str">
        <x:v>No existen tests para CRUD de reportes conductuales; requiere primero implementar controller</x:v>
      </x:c>
      <x:c r="O109" s="110" t="str">
        <x:v>2026-07-15</x:v>
      </x:c>
      <x:c r="P109" s="110" t="str">
        <x:v>Pendiente</x:v>
      </x:c>
    </x:row>
    <x:row r="110">
      <x:c r="A110" s="68" t="str">
        <x:v>INT-009 Reportes conductuales y tutoría</x:v>
      </x:c>
      <x:c r="B110" s="32" t="str">
        <x:v>INT-009-BOLT-008</x:v>
      </x:c>
      <x:c r="C110" s="32" t="str">
        <x:v>Probar consulta de reportes por tutor o psicólogo</x:v>
      </x:c>
      <x:c r="D110" s="32" t="str">
        <x:v>Pruebas</x:v>
      </x:c>
      <x:c r="E110" s="32" t="str">
        <x:v>No</x:v>
      </x:c>
      <x:c r="F110" s="32" t="str">
        <x:v>No se encontró evidencia en el repositorio</x:v>
      </x:c>
      <x:c r="G110" s="32" t="str">
        <x:v>No</x:v>
      </x:c>
      <x:c r="H110" s="32" t="str">
        <x:v>No aplica</x:v>
      </x:c>
      <x:c r="I110" s="32" t="str">
        <x:v>Pendiente</x:v>
      </x:c>
      <x:c r="J110" s="32" t="str">
        <x:v>Alta</x:v>
      </x:c>
      <x:c r="K110" s="32" t="str">
        <x:v>Equipo SIDERAE</x:v>
      </x:c>
      <x:c r="L110" s="32" t="str">
        <x:v>Pruebas</x:v>
      </x:c>
      <x:c r="M110" s="32" t="str">
        <x:v>Alto</x:v>
      </x:c>
      <x:c r="N110" s="32" t="str">
        <x:v>Depende de la implementación del controller de reportes conductuales</x:v>
      </x:c>
      <x:c r="O110" s="110" t="str">
        <x:v>2026-07-15</x:v>
      </x:c>
      <x:c r="P110" s="110" t="str">
        <x:v>Pendiente</x:v>
      </x:c>
    </x:row>
    <x:row r="111">
      <x:c r="A111" s="72" t="str">
        <x:v>INT-010 Variables socioeconómicas y datos familiares</x:v>
      </x:c>
      <x:c r="B111" s="32" t="str">
        <x:v>INT-010-BOLT-001</x:v>
      </x:c>
      <x:c r="C111" s="32" t="str">
        <x:v>Crear modelo de variables socioeconómicas</x:v>
      </x:c>
      <x:c r="D111" s="32" t="str">
        <x:v>Variables socioeconómicas</x:v>
      </x:c>
      <x:c r="E111" s="32" t="str">
        <x:v>Sí</x:v>
      </x:c>
      <x:c r="F111" s="32" t="str">
        <x:v>backend/app/Models/VariableSocioeconomica.php, backend/database/migrations/2026_04_23_024319_create_variables_socioeconomicas_table.php</x:v>
      </x:c>
      <x:c r="G111" s="32" t="str">
        <x:v>Sí</x:v>
      </x:c>
      <x:c r="H111" s="32" t="str">
        <x:v>backend/tests/Feature/DatosAcademicosTest.php</x:v>
      </x:c>
      <x:c r="I111" s="32" t="str">
        <x:v>Completado</x:v>
      </x:c>
      <x:c r="J111" s="32" t="str">
        <x:v>Alta</x:v>
      </x:c>
      <x:c r="K111" s="32" t="str">
        <x:v>Ernesto Marcial Constantino Chuchon Sotelo</x:v>
      </x:c>
      <x:c r="L111" s="32" t="str">
        <x:v>Base de datos</x:v>
      </x:c>
      <x:c r="M111" s="32" t="str">
        <x:v>Bajo</x:v>
      </x:c>
      <x:c r="N111" s="32" t="str">
        <x:v>Modelo con fillable: estudiante_id, composicion_familiar, nivel_socioeconomico, acceso_internet, distancia_colegio_km, anio_escolar</x:v>
      </x:c>
      <x:c r="O111" s="110" t="str">
        <x:v>2026-04-23</x:v>
      </x:c>
      <x:c r="P111" s="110" t="str">
        <x:v>2026-04-23</x:v>
      </x:c>
    </x:row>
    <x:row r="112">
      <x:c r="A112" s="72" t="str">
        <x:v>INT-010 Variables socioeconómicas y datos familiares</x:v>
      </x:c>
      <x:c r="B112" s="32" t="str">
        <x:v>INT-010-BOLT-002</x:v>
      </x:c>
      <x:c r="C112" s="32" t="str">
        <x:v>Registrar datos familiares del estudiante</x:v>
      </x:c>
      <x:c r="D112" s="32" t="str">
        <x:v>Variables socioeconómicas</x:v>
      </x:c>
      <x:c r="E112" s="32" t="str">
        <x:v>Sí</x:v>
      </x:c>
      <x:c r="F112" s="32" t="str">
        <x:v>backend/app/Http/Controllers/Api/VariableSocioeconomicaController.php, backend/app/Http/Requests/StoreVariableSocioeconomicaRequest.php</x:v>
      </x:c>
      <x:c r="G112" s="32" t="str">
        <x:v>Sí</x:v>
      </x:c>
      <x:c r="H112" s="32" t="str">
        <x:v>backend/tests/Feature/DatosAcademicosTest.php</x:v>
      </x:c>
      <x:c r="I112" s="32" t="str">
        <x:v>En proceso</x:v>
      </x:c>
      <x:c r="J112" s="32" t="str">
        <x:v>Media</x:v>
      </x:c>
      <x:c r="K112" s="32" t="str">
        <x:v>Diego Ricardo Carhuamaca Vasquez</x:v>
      </x:c>
      <x:c r="L112" s="32" t="str">
        <x:v>Backend</x:v>
      </x:c>
      <x:c r="M112" s="32" t="str">
        <x:v>Bajo</x:v>
      </x:c>
      <x:c r="N112" s="32" t="str">
        <x:v>Controller y request existen; campo composicion_familiar permite registrar datos familiares básicos</x:v>
      </x:c>
      <x:c r="O112" s="110" t="str">
        <x:v>2026-04-23</x:v>
      </x:c>
      <x:c r="P112" s="110" t="str">
        <x:v>Pendiente</x:v>
      </x:c>
    </x:row>
    <x:row r="113">
      <x:c r="A113" s="72" t="str">
        <x:v>INT-010 Variables socioeconómicas y datos familiares</x:v>
      </x:c>
      <x:c r="B113" s="32" t="str">
        <x:v>INT-010-BOLT-003</x:v>
      </x:c>
      <x:c r="C113" s="32" t="str">
        <x:v>Registrar información del apoderado</x:v>
      </x:c>
      <x:c r="D113" s="32" t="str">
        <x:v>Variables socioeconómicas</x:v>
      </x:c>
      <x:c r="E113" s="32" t="str">
        <x:v>No</x:v>
      </x:c>
      <x:c r="F113" s="32" t="str">
        <x:v>No se encontró modelo de apoderado en el repositorio</x:v>
      </x:c>
      <x:c r="G113" s="32" t="str">
        <x:v>No</x:v>
      </x:c>
      <x:c r="H113" s="32" t="str">
        <x:v>No aplica</x:v>
      </x:c>
      <x:c r="I113" s="32" t="str">
        <x:v>Pendiente</x:v>
      </x:c>
      <x:c r="J113" s="32" t="str">
        <x:v>Media</x:v>
      </x:c>
      <x:c r="K113" s="32" t="str">
        <x:v>Diego Ricardo Carhuamaca Vasquez</x:v>
      </x:c>
      <x:c r="L113" s="32" t="str">
        <x:v>Backend</x:v>
      </x:c>
      <x:c r="M113" s="32" t="str">
        <x:v>Medio</x:v>
      </x:c>
      <x:c r="N113" s="32" t="str">
        <x:v>No existe modelo Apoderado independiente; datos familiares parciales en VariableSocioeconomica</x:v>
      </x:c>
      <x:c r="O113" s="110" t="str">
        <x:v>2026-07-15</x:v>
      </x:c>
      <x:c r="P113" s="110" t="str">
        <x:v>Pendiente</x:v>
      </x:c>
    </x:row>
    <x:row r="114">
      <x:c r="A114" s="72" t="str">
        <x:v>INT-010 Variables socioeconómicas y datos familiares</x:v>
      </x:c>
      <x:c r="B114" s="32" t="str">
        <x:v>INT-010-BOLT-004</x:v>
      </x:c>
      <x:c r="C114" s="32" t="str">
        <x:v>Registrar condición de acompañamiento familiar</x:v>
      </x:c>
      <x:c r="D114" s="32" t="str">
        <x:v>Variables socioeconómicas</x:v>
      </x:c>
      <x:c r="E114" s="32" t="str">
        <x:v>Sí</x:v>
      </x:c>
      <x:c r="F114" s="32" t="str">
        <x:v>backend/app/Models/VariableSocioeconomica.php (campo composicion_familiar)</x:v>
      </x:c>
      <x:c r="G114" s="32" t="str">
        <x:v>No</x:v>
      </x:c>
      <x:c r="H114" s="32" t="str">
        <x:v>Pendiente de adjuntar</x:v>
      </x:c>
      <x:c r="I114" s="32" t="str">
        <x:v>En proceso</x:v>
      </x:c>
      <x:c r="J114" s="32" t="str">
        <x:v>Media</x:v>
      </x:c>
      <x:c r="K114" s="32" t="str">
        <x:v>Ernesto Marcial Constantino Chuchon Sotelo</x:v>
      </x:c>
      <x:c r="L114" s="32" t="str">
        <x:v>Backend</x:v>
      </x:c>
      <x:c r="M114" s="32" t="str">
        <x:v>Medio</x:v>
      </x:c>
      <x:c r="N114" s="32" t="str">
        <x:v>Campo composicion_familiar disponible; falta catálogo de condiciones y UI</x:v>
      </x:c>
      <x:c r="O114" s="110" t="str">
        <x:v>2026-07-01</x:v>
      </x:c>
      <x:c r="P114" s="110" t="str">
        <x:v>Pendiente</x:v>
      </x:c>
    </x:row>
    <x:row r="115">
      <x:c r="A115" s="72" t="str">
        <x:v>INT-010 Variables socioeconómicas y datos familiares</x:v>
      </x:c>
      <x:c r="B115" s="32" t="str">
        <x:v>INT-010-BOLT-005</x:v>
      </x:c>
      <x:c r="C115" s="32" t="str">
        <x:v>Registrar situación familiar relevante</x:v>
      </x:c>
      <x:c r="D115" s="32" t="str">
        <x:v>Variables socioeconómicas</x:v>
      </x:c>
      <x:c r="E115" s="32" t="str">
        <x:v>No</x:v>
      </x:c>
      <x:c r="F115" s="32" t="str">
        <x:v>Pendiente de adjuntar</x:v>
      </x:c>
      <x:c r="G115" s="32" t="str">
        <x:v>No</x:v>
      </x:c>
      <x:c r="H115" s="32" t="str">
        <x:v>No aplica</x:v>
      </x:c>
      <x:c r="I115" s="32" t="str">
        <x:v>Pendiente</x:v>
      </x:c>
      <x:c r="J115" s="32" t="str">
        <x:v>Media</x:v>
      </x:c>
      <x:c r="K115" s="32" t="str">
        <x:v>Diego Ricardo Carhuamaca Vasquez</x:v>
      </x:c>
      <x:c r="L115" s="32" t="str">
        <x:v>Backend</x:v>
      </x:c>
      <x:c r="M115" s="32" t="str">
        <x:v>Medio</x:v>
      </x:c>
      <x:c r="N115" s="32" t="str">
        <x:v>No existe campo o modelo específico para situaciones familiares relevantes</x:v>
      </x:c>
      <x:c r="O115" s="110" t="str">
        <x:v>2026-07-15</x:v>
      </x:c>
      <x:c r="P115" s="110" t="str">
        <x:v>Pendiente</x:v>
      </x:c>
    </x:row>
    <x:row r="116">
      <x:c r="A116" s="72" t="str">
        <x:v>INT-010 Variables socioeconómicas y datos familiares</x:v>
      </x:c>
      <x:c r="B116" s="32" t="str">
        <x:v>INT-010-BOLT-006</x:v>
      </x:c>
      <x:c r="C116" s="32" t="str">
        <x:v>Asociar variables con el estudiante</x:v>
      </x:c>
      <x:c r="D116" s="32" t="str">
        <x:v>Variables socioeconómicas</x:v>
      </x:c>
      <x:c r="E116" s="32" t="str">
        <x:v>Sí</x:v>
      </x:c>
      <x:c r="F116" s="32" t="str">
        <x:v>backend/app/Models/Estudiante.php (relación variablesSocioeconomicas HasMany), backend/routes/api.php (GET/POST /estudiantes/{id}/variables-socioeconomicas)</x:v>
      </x:c>
      <x:c r="G116" s="32" t="str">
        <x:v>Sí</x:v>
      </x:c>
      <x:c r="H116" s="32" t="str">
        <x:v>backend/tests/Feature/DatosAcademicosTest.php</x:v>
      </x:c>
      <x:c r="I116" s="32" t="str">
        <x:v>Completado</x:v>
      </x:c>
      <x:c r="J116" s="32" t="str">
        <x:v>Alta</x:v>
      </x:c>
      <x:c r="K116" s="32" t="str">
        <x:v>Ernesto Marcial Constantino Chuchon Sotelo</x:v>
      </x:c>
      <x:c r="L116" s="32" t="str">
        <x:v>Backend</x:v>
      </x:c>
      <x:c r="M116" s="32" t="str">
        <x:v>Bajo</x:v>
      </x:c>
      <x:c r="N116" s="32" t="str">
        <x:v>Relación Estudiante-&gt;VariablesSocioeconomicas con endpoints API funcionando</x:v>
      </x:c>
      <x:c r="O116" s="110" t="str">
        <x:v>2026-04-23</x:v>
      </x:c>
      <x:c r="P116" s="110" t="str">
        <x:v>2026-04-25</x:v>
      </x:c>
    </x:row>
    <x:row r="117">
      <x:c r="A117" s="72" t="str">
        <x:v>INT-010 Variables socioeconómicas y datos familiares</x:v>
      </x:c>
      <x:c r="B117" s="32" t="str">
        <x:v>INT-010-BOLT-007</x:v>
      </x:c>
      <x:c r="C117" s="32" t="str">
        <x:v>Proteger información sensible</x:v>
      </x:c>
      <x:c r="D117" s="32" t="str">
        <x:v>Variables socioeconómicas</x:v>
      </x:c>
      <x:c r="E117" s="32" t="str">
        <x:v>Sí</x:v>
      </x:c>
      <x:c r="F117" s="32" t="str">
        <x:v>backend/routes/api.php (middleware permission:registrar_datos_academicos)</x:v>
      </x:c>
      <x:c r="G117" s="32" t="str">
        <x:v>No</x:v>
      </x:c>
      <x:c r="H117" s="32" t="str">
        <x:v>Pendiente de adjuntar</x:v>
      </x:c>
      <x:c r="I117" s="32" t="str">
        <x:v>En proceso</x:v>
      </x:c>
      <x:c r="J117" s="32" t="str">
        <x:v>Alta</x:v>
      </x:c>
      <x:c r="K117" s="32" t="str">
        <x:v>Ernesto Marcial Constantino Chuchon Sotelo</x:v>
      </x:c>
      <x:c r="L117" s="32" t="str">
        <x:v>Seguridad</x:v>
      </x:c>
      <x:c r="M117" s="32" t="str">
        <x:v>Medio</x:v>
      </x:c>
      <x:c r="N117" s="32" t="str">
        <x:v>Acceso protegido por permisos; falta encriptación de datos sensibles y política de acceso granular</x:v>
      </x:c>
      <x:c r="O117" s="110" t="str">
        <x:v>2026-07-01</x:v>
      </x:c>
      <x:c r="P117" s="110" t="str">
        <x:v>Pendiente</x:v>
      </x:c>
    </x:row>
    <x:row r="118">
      <x:c r="A118" s="72" t="str">
        <x:v>INT-010 Variables socioeconómicas y datos familiares</x:v>
      </x:c>
      <x:c r="B118" s="32" t="str">
        <x:v>INT-010-BOLT-008</x:v>
      </x:c>
      <x:c r="C118" s="32" t="str">
        <x:v>Incorporar variables socioeconómicas al cálculo de riesgo</x:v>
      </x:c>
      <x:c r="D118" s="32" t="str">
        <x:v>Variables socioeconómicas</x:v>
      </x:c>
      <x:c r="E118" s="32" t="str">
        <x:v>Sí</x:v>
      </x:c>
      <x:c r="F118" s="32" t="str">
        <x:v>ml-service/main.py (nivel_socioeconomico peso 0.14, acceso_internet penalty 0.12, distancia_colegio peso 0.09), backend/app/Http/Controllers/Api/ProcesarRiesgoController.php</x:v>
      </x:c>
      <x:c r="G118" s="32" t="str">
        <x:v>Sí</x:v>
      </x:c>
      <x:c r="H118" s="32" t="str">
        <x:v>backend/tests/Feature/RiesgoTest.php</x:v>
      </x:c>
      <x:c r="I118" s="32" t="str">
        <x:v>Completado</x:v>
      </x:c>
      <x:c r="J118" s="32" t="str">
        <x:v>Alta</x:v>
      </x:c>
      <x:c r="K118" s="32" t="str">
        <x:v>Ernesto Marcial Constantino Chuchon Sotelo</x:v>
      </x:c>
      <x:c r="L118" s="32" t="str">
        <x:v>ML</x:v>
      </x:c>
      <x:c r="M118" s="32" t="str">
        <x:v>Bajo</x:v>
      </x:c>
      <x:c r="N118" s="32" t="str">
        <x:v>Variables socioeconómicas (nivel, internet, distancia) incorporadas en el cálculo de riesgo del ML</x:v>
      </x:c>
      <x:c r="O118" s="110" t="str">
        <x:v>2026-04-23</x:v>
      </x:c>
      <x:c r="P118" s="110" t="str">
        <x:v>2026-05-05</x:v>
      </x:c>
    </x:row>
    <x:row r="119">
      <x:c r="A119" s="72" t="str">
        <x:v>INT-010 Variables socioeconómicas y datos familiares</x:v>
      </x:c>
      <x:c r="B119" s="32" t="str">
        <x:v>INT-010-BOLT-009</x:v>
      </x:c>
      <x:c r="C119" s="32" t="str">
        <x:v>Probar validación de datos familiares</x:v>
      </x:c>
      <x:c r="D119" s="32" t="str">
        <x:v>Pruebas</x:v>
      </x:c>
      <x:c r="E119" s="32" t="str">
        <x:v>Sí</x:v>
      </x:c>
      <x:c r="F119" s="32" t="str">
        <x:v>backend/tests/Feature/DatosAcademicosTest.php</x:v>
      </x:c>
      <x:c r="G119" s="32" t="str">
        <x:v>Sí</x:v>
      </x:c>
      <x:c r="H119" s="32" t="str">
        <x:v>php artisan test --filter=DatosAcademicosTest</x:v>
      </x:c>
      <x:c r="I119" s="32" t="str">
        <x:v>En proceso</x:v>
      </x:c>
      <x:c r="J119" s="32" t="str">
        <x:v>Media</x:v>
      </x:c>
      <x:c r="K119" s="32" t="str">
        <x:v>Equipo SIDERAE</x:v>
      </x:c>
      <x:c r="L119" s="32" t="str">
        <x:v>Pruebas</x:v>
      </x:c>
      <x:c r="M119" s="32" t="str">
        <x:v>Bajo</x:v>
      </x:c>
      <x:c r="N119" s="32" t="str">
        <x:v>Tests básicos de datos académicos incluyen variables socioeconómicas; falta tests específicos</x:v>
      </x:c>
      <x:c r="O119" s="110" t="str">
        <x:v>2026-05-05</x:v>
      </x:c>
      <x:c r="P119" s="110" t="str">
        <x:v>Pendiente</x:v>
      </x:c>
    </x:row>
    <x:row r="120">
      <x:c r="A120" s="76" t="str">
        <x:v>INT-011 Procesamiento del riesgo académico</x:v>
      </x:c>
      <x:c r="B120" s="32" t="str">
        <x:v>INT-011-BOLT-001</x:v>
      </x:c>
      <x:c r="C120" s="32" t="str">
        <x:v>Crear servicio de validación de datos mínimos</x:v>
      </x:c>
      <x:c r="D120" s="32" t="str">
        <x:v>Riesgo académico</x:v>
      </x:c>
      <x:c r="E120" s="32" t="str">
        <x:v>Sí</x:v>
      </x:c>
      <x:c r="F120" s="32" t="str">
        <x:v>backend/app/Services/RiesgoAcademicoService.php (10KB)</x:v>
      </x:c>
      <x:c r="G120" s="32" t="str">
        <x:v>Sí</x:v>
      </x:c>
      <x:c r="H120" s="32" t="str">
        <x:v>backend/tests/Feature/RiesgoTest.php</x:v>
      </x:c>
      <x:c r="I120" s="32" t="str">
        <x:v>Completado</x:v>
      </x:c>
      <x:c r="J120" s="32" t="str">
        <x:v>Alta</x:v>
      </x:c>
      <x:c r="K120" s="32" t="str">
        <x:v>Ernesto Marcial Constantino Chuchon Sotelo</x:v>
      </x:c>
      <x:c r="L120" s="32" t="str">
        <x:v>Backend</x:v>
      </x:c>
      <x:c r="M120" s="32" t="str">
        <x:v>Bajo</x:v>
      </x:c>
      <x:c r="N120" s="32" t="str">
        <x:v>RiesgoAcademicoService con validación de datos mínimos y armado de payload</x:v>
      </x:c>
      <x:c r="O120" s="110" t="str">
        <x:v>2026-04-23</x:v>
      </x:c>
      <x:c r="P120" s="110" t="str">
        <x:v>2026-05-05</x:v>
      </x:c>
    </x:row>
    <x:row r="121">
      <x:c r="A121" s="76" t="str">
        <x:v>INT-011 Procesamiento del riesgo académico</x:v>
      </x:c>
      <x:c r="B121" s="32" t="str">
        <x:v>INT-011-BOLT-002</x:v>
      </x:c>
      <x:c r="C121" s="32" t="str">
        <x:v>Validar existencia de notas</x:v>
      </x:c>
      <x:c r="D121" s="32" t="str">
        <x:v>Riesgo académico</x:v>
      </x:c>
      <x:c r="E121" s="32" t="str">
        <x:v>Sí</x:v>
      </x:c>
      <x:c r="F121" s="32" t="str">
        <x:v>backend/app/Services/RiesgoAcademicoService.php</x:v>
      </x:c>
      <x:c r="G121" s="32" t="str">
        <x:v>Sí</x:v>
      </x:c>
      <x:c r="H121" s="32" t="str">
        <x:v>backend/tests/Feature/RiesgoTest.php</x:v>
      </x:c>
      <x:c r="I121" s="32" t="str">
        <x:v>Completado</x:v>
      </x:c>
      <x:c r="J121" s="32" t="str">
        <x:v>Alta</x:v>
      </x:c>
      <x:c r="K121" s="32" t="str">
        <x:v>Ernesto Marcial Constantino Chuchon Sotelo</x:v>
      </x:c>
      <x:c r="L121" s="32" t="str">
        <x:v>Backend</x:v>
      </x:c>
      <x:c r="M121" s="32" t="str">
        <x:v>Bajo</x:v>
      </x:c>
      <x:c r="N121" s="32" t="str">
        <x:v>Validación de existencia de notas para cálculo de promedio</x:v>
      </x:c>
      <x:c r="O121" s="110" t="str">
        <x:v>2026-04-23</x:v>
      </x:c>
      <x:c r="P121" s="110" t="str">
        <x:v>2026-05-05</x:v>
      </x:c>
    </x:row>
    <x:row r="122">
      <x:c r="A122" s="76" t="str">
        <x:v>INT-011 Procesamiento del riesgo académico</x:v>
      </x:c>
      <x:c r="B122" s="32" t="str">
        <x:v>INT-011-BOLT-003</x:v>
      </x:c>
      <x:c r="C122" s="32" t="str">
        <x:v>Validar existencia de asistencia</x:v>
      </x:c>
      <x:c r="D122" s="32" t="str">
        <x:v>Riesgo académico</x:v>
      </x:c>
      <x:c r="E122" s="32" t="str">
        <x:v>Sí</x:v>
      </x:c>
      <x:c r="F122" s="32" t="str">
        <x:v>backend/app/Services/RiesgoAcademicoService.php</x:v>
      </x:c>
      <x:c r="G122" s="32" t="str">
        <x:v>Sí</x:v>
      </x:c>
      <x:c r="H122" s="32" t="str">
        <x:v>backend/tests/Feature/RiesgoTest.php</x:v>
      </x:c>
      <x:c r="I122" s="32" t="str">
        <x:v>Completado</x:v>
      </x:c>
      <x:c r="J122" s="32" t="str">
        <x:v>Alta</x:v>
      </x:c>
      <x:c r="K122" s="32" t="str">
        <x:v>Ernesto Marcial Constantino Chuchon Sotelo</x:v>
      </x:c>
      <x:c r="L122" s="32" t="str">
        <x:v>Backend</x:v>
      </x:c>
      <x:c r="M122" s="32" t="str">
        <x:v>Bajo</x:v>
      </x:c>
      <x:c r="N122" s="32" t="str">
        <x:v>Validación de porcentaje de asistencia</x:v>
      </x:c>
      <x:c r="O122" s="110" t="str">
        <x:v>2026-04-23</x:v>
      </x:c>
      <x:c r="P122" s="110" t="str">
        <x:v>2026-05-05</x:v>
      </x:c>
    </x:row>
    <x:row r="123">
      <x:c r="A123" s="76" t="str">
        <x:v>INT-011 Procesamiento del riesgo académico</x:v>
      </x:c>
      <x:c r="B123" s="32" t="str">
        <x:v>INT-011-BOLT-004</x:v>
      </x:c>
      <x:c r="C123" s="32" t="str">
        <x:v>Validar existencia de variables socioeconómicas</x:v>
      </x:c>
      <x:c r="D123" s="32" t="str">
        <x:v>Riesgo académico</x:v>
      </x:c>
      <x:c r="E123" s="32" t="str">
        <x:v>Sí</x:v>
      </x:c>
      <x:c r="F123" s="32" t="str">
        <x:v>backend/app/Services/RiesgoAcademicoService.php</x:v>
      </x:c>
      <x:c r="G123" s="32" t="str">
        <x:v>Sí</x:v>
      </x:c>
      <x:c r="H123" s="32" t="str">
        <x:v>backend/tests/Feature/RiesgoTest.php</x:v>
      </x:c>
      <x:c r="I123" s="32" t="str">
        <x:v>Completado</x:v>
      </x:c>
      <x:c r="J123" s="32" t="str">
        <x:v>Alta</x:v>
      </x:c>
      <x:c r="K123" s="32" t="str">
        <x:v>Ernesto Marcial Constantino Chuchon Sotelo</x:v>
      </x:c>
      <x:c r="L123" s="32" t="str">
        <x:v>Backend</x:v>
      </x:c>
      <x:c r="M123" s="32" t="str">
        <x:v>Bajo</x:v>
      </x:c>
      <x:c r="N123" s="32" t="str">
        <x:v>Validación de variables socioeconómicas (nivel, internet, distancia)</x:v>
      </x:c>
      <x:c r="O123" s="110" t="str">
        <x:v>2026-04-23</x:v>
      </x:c>
      <x:c r="P123" s="110" t="str">
        <x:v>2026-05-05</x:v>
      </x:c>
    </x:row>
    <x:row r="124">
      <x:c r="A124" s="76" t="str">
        <x:v>INT-011 Procesamiento del riesgo académico</x:v>
      </x:c>
      <x:c r="B124" s="32" t="str">
        <x:v>INT-011-BOLT-005</x:v>
      </x:c>
      <x:c r="C124" s="32" t="str">
        <x:v>Crear payload de estudiante para análisis de riesgo</x:v>
      </x:c>
      <x:c r="D124" s="32" t="str">
        <x:v>Riesgo académico</x:v>
      </x:c>
      <x:c r="E124" s="32" t="str">
        <x:v>Sí</x:v>
      </x:c>
      <x:c r="F124" s="32" t="str">
        <x:v>backend/app/Http/Controllers/Api/ProcesarRiesgoController.php, backend/app/Services/RiesgoAcademicoService.php</x:v>
      </x:c>
      <x:c r="G124" s="32" t="str">
        <x:v>Sí</x:v>
      </x:c>
      <x:c r="H124" s="32" t="str">
        <x:v>backend/tests/Feature/RiesgoTest.php</x:v>
      </x:c>
      <x:c r="I124" s="32" t="str">
        <x:v>Completado</x:v>
      </x:c>
      <x:c r="J124" s="32" t="str">
        <x:v>Alta</x:v>
      </x:c>
      <x:c r="K124" s="32" t="str">
        <x:v>Ernesto Marcial Constantino Chuchon Sotelo</x:v>
      </x:c>
      <x:c r="L124" s="32" t="str">
        <x:v>Backend</x:v>
      </x:c>
      <x:c r="M124" s="32" t="str">
        <x:v>Bajo</x:v>
      </x:c>
      <x:c r="N124" s="32" t="str">
        <x:v>Payload con promedio_notas, porcentaje_asistencia, reportes_conductuales, fast_test_puntaje, nivel_socioeconomico, acceso_internet, distancia_colegio</x:v>
      </x:c>
      <x:c r="O124" s="110" t="str">
        <x:v>2026-04-23</x:v>
      </x:c>
      <x:c r="P124" s="110" t="str">
        <x:v>2026-05-05</x:v>
      </x:c>
    </x:row>
    <x:row r="125">
      <x:c r="A125" s="76" t="str">
        <x:v>INT-011 Procesamiento del riesgo académico</x:v>
      </x:c>
      <x:c r="B125" s="32" t="str">
        <x:v>INT-011-BOLT-006</x:v>
      </x:c>
      <x:c r="C125" s="32" t="str">
        <x:v>Conectar Laravel con microservicio Flask</x:v>
      </x:c>
      <x:c r="D125" s="32" t="str">
        <x:v>Integración</x:v>
      </x:c>
      <x:c r="E125" s="32" t="str">
        <x:v>Sí</x:v>
      </x:c>
      <x:c r="F125" s="32" t="str">
        <x:v>backend/app/Services/MlRiskService.php, backend/config/services.php (ml.url)</x:v>
      </x:c>
      <x:c r="G125" s="32" t="str">
        <x:v>Sí</x:v>
      </x:c>
      <x:c r="H125" s="32" t="str">
        <x:v>backend/tests/Feature/RiesgoTest.php</x:v>
      </x:c>
      <x:c r="I125" s="32" t="str">
        <x:v>Completado</x:v>
      </x:c>
      <x:c r="J125" s="32" t="str">
        <x:v>Alta</x:v>
      </x:c>
      <x:c r="K125" s="32" t="str">
        <x:v>Ernesto Marcial Constantino Chuchon Sotelo</x:v>
      </x:c>
      <x:c r="L125" s="32" t="str">
        <x:v>Integración</x:v>
      </x:c>
      <x:c r="M125" s="32" t="str">
        <x:v>Bajo</x:v>
      </x:c>
      <x:c r="N125" s="32" t="str">
        <x:v>MlRiskService con HTTP client, timeout 15s, manejo de ConnectionException</x:v>
      </x:c>
      <x:c r="O125" s="110" t="str">
        <x:v>2026-04-23</x:v>
      </x:c>
      <x:c r="P125" s="110" t="str">
        <x:v>2026-05-05</x:v>
      </x:c>
    </x:row>
    <x:row r="126">
      <x:c r="A126" s="76" t="str">
        <x:v>INT-011 Procesamiento del riesgo académico</x:v>
      </x:c>
      <x:c r="B126" s="32" t="str">
        <x:v>INT-011-BOLT-007</x:v>
      </x:c>
      <x:c r="C126" s="32" t="str">
        <x:v>Procesar índice de riesgo entre 0 y 1</x:v>
      </x:c>
      <x:c r="D126" s="32" t="str">
        <x:v>Riesgo académico</x:v>
      </x:c>
      <x:c r="E126" s="32" t="str">
        <x:v>Sí</x:v>
      </x:c>
      <x:c r="F126" s="32" t="str">
        <x:v>ml-service/main.py (indice redondeado a 4 decimales, clamped 0..1)</x:v>
      </x:c>
      <x:c r="G126" s="32" t="str">
        <x:v>Sí</x:v>
      </x:c>
      <x:c r="H126" s="32" t="str">
        <x:v>backend/tests/Feature/RiesgoTest.php</x:v>
      </x:c>
      <x:c r="I126" s="32" t="str">
        <x:v>Completado</x:v>
      </x:c>
      <x:c r="J126" s="32" t="str">
        <x:v>Alta</x:v>
      </x:c>
      <x:c r="K126" s="32" t="str">
        <x:v>Ernesto Marcial Constantino Chuchon Sotelo</x:v>
      </x:c>
      <x:c r="L126" s="32" t="str">
        <x:v>ML</x:v>
      </x:c>
      <x:c r="M126" s="32" t="str">
        <x:v>Bajo</x:v>
      </x:c>
      <x:c r="N126" s="32" t="str">
        <x:v>Índice calculado con max(0.0, min(1.0, indice)) y redondeado a 4 decimales</x:v>
      </x:c>
      <x:c r="O126" s="110" t="str">
        <x:v>2026-04-23</x:v>
      </x:c>
      <x:c r="P126" s="110" t="str">
        <x:v>2026-05-05</x:v>
      </x:c>
    </x:row>
    <x:row r="127">
      <x:c r="A127" s="76" t="str">
        <x:v>INT-011 Procesamiento del riesgo académico</x:v>
      </x:c>
      <x:c r="B127" s="32" t="str">
        <x:v>INT-011-BOLT-008</x:v>
      </x:c>
      <x:c r="C127" s="32" t="str">
        <x:v>Clasificar riesgo bajo, medio o alto</x:v>
      </x:c>
      <x:c r="D127" s="32" t="str">
        <x:v>Riesgo académico</x:v>
      </x:c>
      <x:c r="E127" s="32" t="str">
        <x:v>Sí</x:v>
      </x:c>
      <x:c r="F127" s="32" t="str">
        <x:v>ml-service/main.py (bajo &lt;0.40, medio 0.40-0.70, alto &gt;=0.70)</x:v>
      </x:c>
      <x:c r="G127" s="32" t="str">
        <x:v>Sí</x:v>
      </x:c>
      <x:c r="H127" s="32" t="str">
        <x:v>backend/tests/Feature/RiesgoTest.php</x:v>
      </x:c>
      <x:c r="I127" s="32" t="str">
        <x:v>Completado</x:v>
      </x:c>
      <x:c r="J127" s="32" t="str">
        <x:v>Alta</x:v>
      </x:c>
      <x:c r="K127" s="32" t="str">
        <x:v>Ernesto Marcial Constantino Chuchon Sotelo</x:v>
      </x:c>
      <x:c r="L127" s="32" t="str">
        <x:v>ML</x:v>
      </x:c>
      <x:c r="M127" s="32" t="str">
        <x:v>Bajo</x:v>
      </x:c>
      <x:c r="N127" s="32" t="str">
        <x:v>Umbrales: bajo &lt;0.40, medio &gt;=0.40 y &lt;0.70, alto &gt;=0.70</x:v>
      </x:c>
      <x:c r="O127" s="110" t="str">
        <x:v>2026-04-23</x:v>
      </x:c>
      <x:c r="P127" s="110" t="str">
        <x:v>2026-05-05</x:v>
      </x:c>
    </x:row>
    <x:row r="128">
      <x:c r="A128" s="76" t="str">
        <x:v>INT-011 Procesamiento del riesgo académico</x:v>
      </x:c>
      <x:c r="B128" s="32" t="str">
        <x:v>INT-011-BOLT-009</x:v>
      </x:c>
      <x:c r="C128" s="32" t="str">
        <x:v>Registrar índice de riesgo en base de datos</x:v>
      </x:c>
      <x:c r="D128" s="32" t="str">
        <x:v>Riesgo académico</x:v>
      </x:c>
      <x:c r="E128" s="32" t="str">
        <x:v>Sí</x:v>
      </x:c>
      <x:c r="F128" s="32" t="str">
        <x:v>backend/app/Models/IndiceRiesgo.php, backend/database/migrations/2026_04_23_024405_create_indices_riesgo_table.php, backend/app/Http/Controllers/Api/ProcesarRiesgoController.php</x:v>
      </x:c>
      <x:c r="G128" s="32" t="str">
        <x:v>Sí</x:v>
      </x:c>
      <x:c r="H128" s="32" t="str">
        <x:v>backend/tests/Feature/RiesgoTest.php</x:v>
      </x:c>
      <x:c r="I128" s="32" t="str">
        <x:v>Completado</x:v>
      </x:c>
      <x:c r="J128" s="32" t="str">
        <x:v>Alta</x:v>
      </x:c>
      <x:c r="K128" s="32" t="str">
        <x:v>Ernesto Marcial Constantino Chuchon Sotelo</x:v>
      </x:c>
      <x:c r="L128" s="32" t="str">
        <x:v>Backend</x:v>
      </x:c>
      <x:c r="M128" s="32" t="str">
        <x:v>Bajo</x:v>
      </x:c>
      <x:c r="N128" s="32" t="str">
        <x:v>IndiceRiesgo guardado en tabla indices_riesgo con estudiante_id, indice, nivel, variables_utilizadas</x:v>
      </x:c>
      <x:c r="O128" s="110" t="str">
        <x:v>2026-04-23</x:v>
      </x:c>
      <x:c r="P128" s="110" t="str">
        <x:v>2026-05-05</x:v>
      </x:c>
    </x:row>
    <x:row r="129">
      <x:c r="A129" s="76" t="str">
        <x:v>INT-011 Procesamiento del riesgo académico</x:v>
      </x:c>
      <x:c r="B129" s="32" t="str">
        <x:v>INT-011-BOLT-010</x:v>
      </x:c>
      <x:c r="C129" s="32" t="str">
        <x:v>Probar procesamiento con estudiante de riesgo bajo</x:v>
      </x:c>
      <x:c r="D129" s="32" t="str">
        <x:v>Pruebas</x:v>
      </x:c>
      <x:c r="E129" s="32" t="str">
        <x:v>Sí</x:v>
      </x:c>
      <x:c r="F129" s="32" t="str">
        <x:v>backend/tests/Feature/RiesgoTest.php</x:v>
      </x:c>
      <x:c r="G129" s="32" t="str">
        <x:v>Sí</x:v>
      </x:c>
      <x:c r="H129" s="32" t="str">
        <x:v>php artisan test --filter=RiesgoTest</x:v>
      </x:c>
      <x:c r="I129" s="32" t="str">
        <x:v>Completado</x:v>
      </x:c>
      <x:c r="J129" s="32" t="str">
        <x:v>Alta</x:v>
      </x:c>
      <x:c r="K129" s="32" t="str">
        <x:v>Equipo SIDERAE</x:v>
      </x:c>
      <x:c r="L129" s="32" t="str">
        <x:v>Pruebas</x:v>
      </x:c>
      <x:c r="M129" s="32" t="str">
        <x:v>Bajo</x:v>
      </x:c>
      <x:c r="N129" s="32" t="str">
        <x:v>Test verifica clasificación de riesgo bajo</x:v>
      </x:c>
      <x:c r="O129" s="110" t="str">
        <x:v>2026-05-05</x:v>
      </x:c>
      <x:c r="P129" s="110" t="str">
        <x:v>2026-05-05</x:v>
      </x:c>
    </x:row>
    <x:row r="130">
      <x:c r="A130" s="76" t="str">
        <x:v>INT-011 Procesamiento del riesgo académico</x:v>
      </x:c>
      <x:c r="B130" s="32" t="str">
        <x:v>INT-011-BOLT-011</x:v>
      </x:c>
      <x:c r="C130" s="32" t="str">
        <x:v>Probar procesamiento con estudiante de riesgo medio</x:v>
      </x:c>
      <x:c r="D130" s="32" t="str">
        <x:v>Pruebas</x:v>
      </x:c>
      <x:c r="E130" s="32" t="str">
        <x:v>Sí</x:v>
      </x:c>
      <x:c r="F130" s="32" t="str">
        <x:v>backend/tests/Feature/RiesgoTest.php</x:v>
      </x:c>
      <x:c r="G130" s="32" t="str">
        <x:v>Sí</x:v>
      </x:c>
      <x:c r="H130" s="32" t="str">
        <x:v>php artisan test --filter=RiesgoTest</x:v>
      </x:c>
      <x:c r="I130" s="32" t="str">
        <x:v>Completado</x:v>
      </x:c>
      <x:c r="J130" s="32" t="str">
        <x:v>Alta</x:v>
      </x:c>
      <x:c r="K130" s="32" t="str">
        <x:v>Equipo SIDERAE</x:v>
      </x:c>
      <x:c r="L130" s="32" t="str">
        <x:v>Pruebas</x:v>
      </x:c>
      <x:c r="M130" s="32" t="str">
        <x:v>Bajo</x:v>
      </x:c>
      <x:c r="N130" s="32" t="str">
        <x:v>Test verifica clasificación de riesgo medio</x:v>
      </x:c>
      <x:c r="O130" s="110" t="str">
        <x:v>2026-05-05</x:v>
      </x:c>
      <x:c r="P130" s="110" t="str">
        <x:v>2026-05-05</x:v>
      </x:c>
    </x:row>
    <x:row r="131">
      <x:c r="A131" s="76" t="str">
        <x:v>INT-011 Procesamiento del riesgo académico</x:v>
      </x:c>
      <x:c r="B131" s="32" t="str">
        <x:v>INT-011-BOLT-012</x:v>
      </x:c>
      <x:c r="C131" s="32" t="str">
        <x:v>Probar procesamiento con estudiante de riesgo alto</x:v>
      </x:c>
      <x:c r="D131" s="32" t="str">
        <x:v>Pruebas</x:v>
      </x:c>
      <x:c r="E131" s="32" t="str">
        <x:v>Sí</x:v>
      </x:c>
      <x:c r="F131" s="32" t="str">
        <x:v>backend/tests/Feature/RiesgoTest.php</x:v>
      </x:c>
      <x:c r="G131" s="32" t="str">
        <x:v>Sí</x:v>
      </x:c>
      <x:c r="H131" s="32" t="str">
        <x:v>php artisan test --filter=RiesgoTest</x:v>
      </x:c>
      <x:c r="I131" s="32" t="str">
        <x:v>Completado</x:v>
      </x:c>
      <x:c r="J131" s="32" t="str">
        <x:v>Alta</x:v>
      </x:c>
      <x:c r="K131" s="32" t="str">
        <x:v>Equipo SIDERAE</x:v>
      </x:c>
      <x:c r="L131" s="32" t="str">
        <x:v>Pruebas</x:v>
      </x:c>
      <x:c r="M131" s="32" t="str">
        <x:v>Bajo</x:v>
      </x:c>
      <x:c r="N131" s="32" t="str">
        <x:v>Test verifica clasificación de riesgo alto</x:v>
      </x:c>
      <x:c r="O131" s="110" t="str">
        <x:v>2026-05-05</x:v>
      </x:c>
      <x:c r="P131" s="110" t="str">
        <x:v>2026-05-05</x:v>
      </x:c>
    </x:row>
    <x:row r="132">
      <x:c r="A132" s="76" t="str">
        <x:v>INT-011 Procesamiento del riesgo académico</x:v>
      </x:c>
      <x:c r="B132" s="32" t="str">
        <x:v>INT-011-BOLT-013</x:v>
      </x:c>
      <x:c r="C132" s="32" t="str">
        <x:v>Manejar error si Flask no responde</x:v>
      </x:c>
      <x:c r="D132" s="32" t="str">
        <x:v>Riesgo académico</x:v>
      </x:c>
      <x:c r="E132" s="32" t="str">
        <x:v>Sí</x:v>
      </x:c>
      <x:c r="F132" s="32" t="str">
        <x:v>backend/app/Services/MlRiskService.php (catch ConnectionException, Log::warning, RuntimeException)</x:v>
      </x:c>
      <x:c r="G132" s="32" t="str">
        <x:v>Sí</x:v>
      </x:c>
      <x:c r="H132" s="32" t="str">
        <x:v>backend/tests/Feature/RiesgoTest.php</x:v>
      </x:c>
      <x:c r="I132" s="32" t="str">
        <x:v>Completado</x:v>
      </x:c>
      <x:c r="J132" s="32" t="str">
        <x:v>Alta</x:v>
      </x:c>
      <x:c r="K132" s="32" t="str">
        <x:v>Ernesto Marcial Constantino Chuchon Sotelo</x:v>
      </x:c>
      <x:c r="L132" s="32" t="str">
        <x:v>Backend</x:v>
      </x:c>
      <x:c r="M132" s="32" t="str">
        <x:v>Bajo</x:v>
      </x:c>
      <x:c r="N132" s="32" t="str">
        <x:v>Manejo de errores: ConnectionException, respuesta no exitosa, respuesta sin indice_riesgo</x:v>
      </x:c>
      <x:c r="O132" s="110" t="str">
        <x:v>2026-04-23</x:v>
      </x:c>
      <x:c r="P132" s="110" t="str">
        <x:v>2026-05-05</x:v>
      </x:c>
    </x:row>
    <x:row r="133">
      <x:c r="A133" s="76" t="str">
        <x:v>INT-011 Procesamiento del riesgo académico</x:v>
      </x:c>
      <x:c r="B133" s="32" t="str">
        <x:v>INT-011-BOLT-014</x:v>
      </x:c>
      <x:c r="C133" s="32" t="str">
        <x:v>Registrar auditoría del procesamiento</x:v>
      </x:c>
      <x:c r="D133" s="32" t="str">
        <x:v>Riesgo académico</x:v>
      </x:c>
      <x:c r="E133" s="32" t="str">
        <x:v>Sí</x:v>
      </x:c>
      <x:c r="F133" s="32" t="str">
        <x:v>backend/app/Http/Controllers/Api/ProcesarRiesgoController.php, backend/tests/Feature/ActivityLogTest.php</x:v>
      </x:c>
      <x:c r="G133" s="32" t="str">
        <x:v>Sí</x:v>
      </x:c>
      <x:c r="H133" s="32" t="str">
        <x:v>backend/tests/Feature/ActivityLogTest.php</x:v>
      </x:c>
      <x:c r="I133" s="32" t="str">
        <x:v>Completado</x:v>
      </x:c>
      <x:c r="J133" s="32" t="str">
        <x:v>Alta</x:v>
      </x:c>
      <x:c r="K133" s="32" t="str">
        <x:v>Ernesto Marcial Constantino Chuchon Sotelo</x:v>
      </x:c>
      <x:c r="L133" s="32" t="str">
        <x:v>Backend</x:v>
      </x:c>
      <x:c r="M133" s="32" t="str">
        <x:v>Bajo</x:v>
      </x:c>
      <x:c r="N133" s="32" t="str">
        <x:v>Auditoría de procesamiento de riesgo via Spatie Activitylog verificada en tests</x:v>
      </x:c>
      <x:c r="O133" s="110" t="str">
        <x:v>2026-05-05</x:v>
      </x:c>
      <x:c r="P133" s="110" t="str">
        <x:v>2026-05-10</x:v>
      </x:c>
    </x:row>
    <x:row r="134">
      <x:c r="A134" s="76" t="str">
        <x:v>INT-011 Procesamiento del riesgo académico</x:v>
      </x:c>
      <x:c r="B134" s="32" t="str">
        <x:v>INT-011-BOLT-015</x:v>
      </x:c>
      <x:c r="C134" s="32" t="str">
        <x:v>Implementar comando demo de procesamiento masivo de riesgos</x:v>
      </x:c>
      <x:c r="D134" s="32" t="str">
        <x:v>Riesgo académico</x:v>
      </x:c>
      <x:c r="E134" s="32" t="str">
        <x:v>Sí</x:v>
      </x:c>
      <x:c r="F134" s="32" t="str">
        <x:v>backend/routes/commands/demo_procesar_riesgos.php</x:v>
      </x:c>
      <x:c r="G134" s="32" t="str">
        <x:v>Sí</x:v>
      </x:c>
      <x:c r="H134" s="32" t="str">
        <x:v>backend/tests/Feature/DemoProcesarRiesgosCommandTest.php</x:v>
      </x:c>
      <x:c r="I134" s="32" t="str">
        <x:v>Completado</x:v>
      </x:c>
      <x:c r="J134" s="32" t="str">
        <x:v>Media</x:v>
      </x:c>
      <x:c r="K134" s="32" t="str">
        <x:v>Ernesto Marcial Constantino Chuchon Sotelo</x:v>
      </x:c>
      <x:c r="L134" s="32" t="str">
        <x:v>Backend</x:v>
      </x:c>
      <x:c r="M134" s="32" t="str">
        <x:v>Bajo</x:v>
      </x:c>
      <x:c r="N134" s="32" t="str">
        <x:v>Comando artisan para procesamiento masivo de riesgos en demo. Bolt adicional detectado.</x:v>
      </x:c>
      <x:c r="O134" s="110" t="str">
        <x:v>2026-05-10</x:v>
      </x:c>
      <x:c r="P134" s="110" t="str">
        <x:v>2026-05-10</x:v>
      </x:c>
    </x:row>
    <x:row r="135">
      <x:c r="A135" s="80" t="str">
        <x:v>INT-012 Microservicio de Machine Learning</x:v>
      </x:c>
      <x:c r="B135" s="32" t="str">
        <x:v>INT-012-BOLT-001</x:v>
      </x:c>
      <x:c r="C135" s="32" t="str">
        <x:v>Crear estructura Flask del microservicio</x:v>
      </x:c>
      <x:c r="D135" s="32" t="str">
        <x:v>ML</x:v>
      </x:c>
      <x:c r="E135" s="32" t="str">
        <x:v>Sí</x:v>
      </x:c>
      <x:c r="F135" s="32" t="str">
        <x:v>ml-service/main.py, ml-service/Dockerfile, ml-service/requirements.txt</x:v>
      </x:c>
      <x:c r="G135" s="32" t="str">
        <x:v>No</x:v>
      </x:c>
      <x:c r="H135" s="32" t="str">
        <x:v>No aplica</x:v>
      </x:c>
      <x:c r="I135" s="32" t="str">
        <x:v>Completado</x:v>
      </x:c>
      <x:c r="J135" s="32" t="str">
        <x:v>Alta</x:v>
      </x:c>
      <x:c r="K135" s="32" t="str">
        <x:v>Ernesto Marcial Constantino Chuchon Sotelo</x:v>
      </x:c>
      <x:c r="L135" s="32" t="str">
        <x:v>ML</x:v>
      </x:c>
      <x:c r="M135" s="32" t="str">
        <x:v>Bajo</x:v>
      </x:c>
      <x:c r="N135" s="32" t="str">
        <x:v>Flask app con estructura mínima funcional</x:v>
      </x:c>
      <x:c r="O135" s="110" t="str">
        <x:v>2026-04-23</x:v>
      </x:c>
      <x:c r="P135" s="110" t="str">
        <x:v>2026-04-23</x:v>
      </x:c>
    </x:row>
    <x:row r="136">
      <x:c r="A136" s="80" t="str">
        <x:v>INT-012 Microservicio de Machine Learning</x:v>
      </x:c>
      <x:c r="B136" s="32" t="str">
        <x:v>INT-012-BOLT-002</x:v>
      </x:c>
      <x:c r="C136" s="32" t="str">
        <x:v>Crear endpoint de predicción</x:v>
      </x:c>
      <x:c r="D136" s="32" t="str">
        <x:v>ML</x:v>
      </x:c>
      <x:c r="E136" s="32" t="str">
        <x:v>Sí</x:v>
      </x:c>
      <x:c r="F136" s="32" t="str">
        <x:v>ml-service/main.py (POST /predict)</x:v>
      </x:c>
      <x:c r="G136" s="32" t="str">
        <x:v>Sí</x:v>
      </x:c>
      <x:c r="H136" s="32" t="str">
        <x:v>backend/tests/Feature/RiesgoTest.php (integración)</x:v>
      </x:c>
      <x:c r="I136" s="32" t="str">
        <x:v>Completado</x:v>
      </x:c>
      <x:c r="J136" s="32" t="str">
        <x:v>Alta</x:v>
      </x:c>
      <x:c r="K136" s="32" t="str">
        <x:v>Ernesto Marcial Constantino Chuchon Sotelo</x:v>
      </x:c>
      <x:c r="L136" s="32" t="str">
        <x:v>ML</x:v>
      </x:c>
      <x:c r="M136" s="32" t="str">
        <x:v>Bajo</x:v>
      </x:c>
      <x:c r="N136" s="32" t="str">
        <x:v>Endpoint /predict recibe JSON y devuelve indice_riesgo + nivel_riesgo</x:v>
      </x:c>
      <x:c r="O136" s="110" t="str">
        <x:v>2026-04-23</x:v>
      </x:c>
      <x:c r="P136" s="110" t="str">
        <x:v>2026-04-23</x:v>
      </x:c>
    </x:row>
    <x:row r="137">
      <x:c r="A137" s="80" t="str">
        <x:v>INT-012 Microservicio de Machine Learning</x:v>
      </x:c>
      <x:c r="B137" s="32" t="str">
        <x:v>INT-012-BOLT-003</x:v>
      </x:c>
      <x:c r="C137" s="32" t="str">
        <x:v>Recibir payload desde Laravel</x:v>
      </x:c>
      <x:c r="D137" s="32" t="str">
        <x:v>ML</x:v>
      </x:c>
      <x:c r="E137" s="32" t="str">
        <x:v>Sí</x:v>
      </x:c>
      <x:c r="F137" s="32" t="str">
        <x:v>ml-service/main.py (request.get_json), backend/app/Services/MlRiskService.php (Http::post)</x:v>
      </x:c>
      <x:c r="G137" s="32" t="str">
        <x:v>Sí</x:v>
      </x:c>
      <x:c r="H137" s="32" t="str">
        <x:v>backend/tests/Feature/RiesgoTest.php</x:v>
      </x:c>
      <x:c r="I137" s="32" t="str">
        <x:v>Completado</x:v>
      </x:c>
      <x:c r="J137" s="32" t="str">
        <x:v>Alta</x:v>
      </x:c>
      <x:c r="K137" s="32" t="str">
        <x:v>Ernesto Marcial Constantino Chuchon Sotelo</x:v>
      </x:c>
      <x:c r="L137" s="32" t="str">
        <x:v>Integración</x:v>
      </x:c>
      <x:c r="M137" s="32" t="str">
        <x:v>Bajo</x:v>
      </x:c>
      <x:c r="N137" s="32" t="str">
        <x:v>Comunicación Laravel-&gt;Flask vía HTTP JSON establecida</x:v>
      </x:c>
      <x:c r="O137" s="110" t="str">
        <x:v>2026-04-23</x:v>
      </x:c>
      <x:c r="P137" s="110" t="str">
        <x:v>2026-05-05</x:v>
      </x:c>
    </x:row>
    <x:row r="138">
      <x:c r="A138" s="80" t="str">
        <x:v>INT-012 Microservicio de Machine Learning</x:v>
      </x:c>
      <x:c r="B138" s="32" t="str">
        <x:v>INT-012-BOLT-004</x:v>
      </x:c>
      <x:c r="C138" s="32" t="str">
        <x:v>Normalizar variables de entrada</x:v>
      </x:c>
      <x:c r="D138" s="32" t="str">
        <x:v>ML</x:v>
      </x:c>
      <x:c r="E138" s="32" t="str">
        <x:v>Sí</x:v>
      </x:c>
      <x:c r="F138" s="32" t="str">
        <x:v>ml-service/main.py (_float, _nivel_socioeconomico_factor, normalización 0..1 por variable)</x:v>
      </x:c>
      <x:c r="G138" s="32" t="str">
        <x:v>No</x:v>
      </x:c>
      <x:c r="H138" s="32" t="str">
        <x:v>Pendiente de adjuntar</x:v>
      </x:c>
      <x:c r="I138" s="32" t="str">
        <x:v>Observado</x:v>
      </x:c>
      <x:c r="J138" s="32" t="str">
        <x:v>Alta</x:v>
      </x:c>
      <x:c r="K138" s="32" t="str">
        <x:v>Ernesto Marcial Constantino Chuchon Sotelo</x:v>
      </x:c>
      <x:c r="L138" s="32" t="str">
        <x:v>ML</x:v>
      </x:c>
      <x:c r="M138" s="32" t="str">
        <x:v>Bajo</x:v>
      </x:c>
      <x:c r="N138" s="32" t="str">
        <x:v>Normalización: notas/20, asistencia/100, reportes/5, distancia/20, socioeconomico a factor Corrección QA: Está completado, pero no tiene evidencia de pruebas ejecutadas.</x:v>
      </x:c>
      <x:c r="O138" s="110" t="str">
        <x:v>2026-04-23</x:v>
      </x:c>
      <x:c r="P138" s="110" t="str">
        <x:v>2026-04-23</x:v>
      </x:c>
    </x:row>
    <x:row r="139">
      <x:c r="A139" s="80" t="str">
        <x:v>INT-012 Microservicio de Machine Learning</x:v>
      </x:c>
      <x:c r="B139" s="32" t="str">
        <x:v>INT-012-BOLT-005</x:v>
      </x:c>
      <x:c r="C139" s="32" t="str">
        <x:v>Calcular índice de riesgo</x:v>
      </x:c>
      <x:c r="D139" s="32" t="str">
        <x:v>ML</x:v>
      </x:c>
      <x:c r="E139" s="32" t="str">
        <x:v>Sí</x:v>
      </x:c>
      <x:c r="F139" s="32" t="str">
        <x:v>ml-service/main.py (pesos: notas 0.28, asistencia 0.24, reportes 0.14, socioeconomico 0.14, distancia 0.09, fast_test 0.06, internet penalty 0.12)</x:v>
      </x:c>
      <x:c r="G139" s="32" t="str">
        <x:v>Sí</x:v>
      </x:c>
      <x:c r="H139" s="32" t="str">
        <x:v>backend/tests/Feature/RiesgoTest.php</x:v>
      </x:c>
      <x:c r="I139" s="32" t="str">
        <x:v>Completado</x:v>
      </x:c>
      <x:c r="J139" s="32" t="str">
        <x:v>Alta</x:v>
      </x:c>
      <x:c r="K139" s="32" t="str">
        <x:v>Ernesto Marcial Constantino Chuchon Sotelo</x:v>
      </x:c>
      <x:c r="L139" s="32" t="str">
        <x:v>ML</x:v>
      </x:c>
      <x:c r="M139" s="32" t="str">
        <x:v>Bajo</x:v>
      </x:c>
      <x:c r="N139" s="32" t="str">
        <x:v>Cálculo determinístico con pesos ponderados sumando a 1.0 (más penalización internet)</x:v>
      </x:c>
      <x:c r="O139" s="110" t="str">
        <x:v>2026-04-23</x:v>
      </x:c>
      <x:c r="P139" s="110" t="str">
        <x:v>2026-05-05</x:v>
      </x:c>
    </x:row>
    <x:row r="140">
      <x:c r="A140" s="80" t="str">
        <x:v>INT-012 Microservicio de Machine Learning</x:v>
      </x:c>
      <x:c r="B140" s="32" t="str">
        <x:v>INT-012-BOLT-006</x:v>
      </x:c>
      <x:c r="C140" s="32" t="str">
        <x:v>Devolver respuesta JSON a Laravel</x:v>
      </x:c>
      <x:c r="D140" s="32" t="str">
        <x:v>ML</x:v>
      </x:c>
      <x:c r="E140" s="32" t="str">
        <x:v>Sí</x:v>
      </x:c>
      <x:c r="F140" s="32" t="str">
        <x:v>ml-service/main.py (jsonify indice_riesgo + nivel_riesgo)</x:v>
      </x:c>
      <x:c r="G140" s="32" t="str">
        <x:v>Sí</x:v>
      </x:c>
      <x:c r="H140" s="32" t="str">
        <x:v>backend/tests/Feature/RiesgoTest.php</x:v>
      </x:c>
      <x:c r="I140" s="32" t="str">
        <x:v>Completado</x:v>
      </x:c>
      <x:c r="J140" s="32" t="str">
        <x:v>Alta</x:v>
      </x:c>
      <x:c r="K140" s="32" t="str">
        <x:v>Ernesto Marcial Constantino Chuchon Sotelo</x:v>
      </x:c>
      <x:c r="L140" s="32" t="str">
        <x:v>ML</x:v>
      </x:c>
      <x:c r="M140" s="32" t="str">
        <x:v>Bajo</x:v>
      </x:c>
      <x:c r="N140" s="32" t="str">
        <x:v>Respuesta JSON con indice_riesgo (float) y nivel_riesgo (bajo/medio/alto)</x:v>
      </x:c>
      <x:c r="O140" s="110" t="str">
        <x:v>2026-04-23</x:v>
      </x:c>
      <x:c r="P140" s="110" t="str">
        <x:v>2026-05-05</x:v>
      </x:c>
    </x:row>
    <x:row r="141">
      <x:c r="A141" s="80" t="str">
        <x:v>INT-012 Microservicio de Machine Learning</x:v>
      </x:c>
      <x:c r="B141" s="32" t="str">
        <x:v>INT-012-BOLT-007</x:v>
      </x:c>
      <x:c r="C141" s="32" t="str">
        <x:v>Manejar errores de datos incompletos</x:v>
      </x:c>
      <x:c r="D141" s="32" t="str">
        <x:v>ML</x:v>
      </x:c>
      <x:c r="E141" s="32" t="str">
        <x:v>Sí</x:v>
      </x:c>
      <x:c r="F141" s="32" t="str">
        <x:v>ml-service/main.py (_float con defaults, get_json silent=True)</x:v>
      </x:c>
      <x:c r="G141" s="32" t="str">
        <x:v>No</x:v>
      </x:c>
      <x:c r="H141" s="32" t="str">
        <x:v>Pendiente de adjuntar</x:v>
      </x:c>
      <x:c r="I141" s="32" t="str">
        <x:v>En proceso</x:v>
      </x:c>
      <x:c r="J141" s="32" t="str">
        <x:v>Media</x:v>
      </x:c>
      <x:c r="K141" s="32" t="str">
        <x:v>Ernesto Marcial Constantino Chuchon Sotelo</x:v>
      </x:c>
      <x:c r="L141" s="32" t="str">
        <x:v>ML</x:v>
      </x:c>
      <x:c r="M141" s="32" t="str">
        <x:v>Medio</x:v>
      </x:c>
      <x:c r="N141" s="32" t="str">
        <x:v>Defaults para datos faltantes; falta validación explícita de campos obligatorios</x:v>
      </x:c>
      <x:c r="O141" s="110" t="str">
        <x:v>2026-05-05</x:v>
      </x:c>
      <x:c r="P141" s="110" t="str">
        <x:v>Pendiente</x:v>
      </x:c>
    </x:row>
    <x:row r="142">
      <x:c r="A142" s="80" t="str">
        <x:v>INT-012 Microservicio de Machine Learning</x:v>
      </x:c>
      <x:c r="B142" s="32" t="str">
        <x:v>INT-012-BOLT-008</x:v>
      </x:c>
      <x:c r="C142" s="32" t="str">
        <x:v>Preparar estructura para modelos Random Forest, SVM o XGBoost</x:v>
      </x:c>
      <x:c r="D142" s="32" t="str">
        <x:v>ML</x:v>
      </x:c>
      <x:c r="E142" s="32" t="str">
        <x:v>No</x:v>
      </x:c>
      <x:c r="F142" s="32" t="str">
        <x:v>No se encontró evidencia en el repositorio</x:v>
      </x:c>
      <x:c r="G142" s="32" t="str">
        <x:v>No</x:v>
      </x:c>
      <x:c r="H142" s="32" t="str">
        <x:v>No aplica</x:v>
      </x:c>
      <x:c r="I142" s="32" t="str">
        <x:v>Pendiente</x:v>
      </x:c>
      <x:c r="J142" s="32" t="str">
        <x:v>Alta</x:v>
      </x:c>
      <x:c r="K142" s="32" t="str">
        <x:v>Ernesto Marcial Constantino Chuchon Sotelo</x:v>
      </x:c>
      <x:c r="L142" s="32" t="str">
        <x:v>ML</x:v>
      </x:c>
      <x:c r="M142" s="32" t="str">
        <x:v>Alto</x:v>
      </x:c>
      <x:c r="N142" s="32" t="str">
        <x:v>Actualmente solo cálculo determinístico; falta integrar scikit-learn o XGBoost para modelos reales</x:v>
      </x:c>
      <x:c r="O142" s="110" t="str">
        <x:v>2026-08-01</x:v>
      </x:c>
      <x:c r="P142" s="110" t="str">
        <x:v>Pendiente</x:v>
      </x:c>
    </x:row>
    <x:row r="143">
      <x:c r="A143" s="80" t="str">
        <x:v>INT-012 Microservicio de Machine Learning</x:v>
      </x:c>
      <x:c r="B143" s="32" t="str">
        <x:v>INT-012-BOLT-009</x:v>
      </x:c>
      <x:c r="C143" s="32" t="str">
        <x:v>Documentar limitación del prototipo ML</x:v>
      </x:c>
      <x:c r="D143" s="32" t="str">
        <x:v>ML</x:v>
      </x:c>
      <x:c r="E143" s="32" t="str">
        <x:v>Sí</x:v>
      </x:c>
      <x:c r="F143" s="32" t="str">
        <x:v>docs/ml-service.md, docs/limitaciones.md</x:v>
      </x:c>
      <x:c r="G143" s="32" t="str">
        <x:v>No</x:v>
      </x:c>
      <x:c r="H143" s="32" t="str">
        <x:v>No aplica</x:v>
      </x:c>
      <x:c r="I143" s="32" t="str">
        <x:v>Completado</x:v>
      </x:c>
      <x:c r="J143" s="32" t="str">
        <x:v>Media</x:v>
      </x:c>
      <x:c r="K143" s="32" t="str">
        <x:v>Ernesto Marcial Constantino Chuchon Sotelo</x:v>
      </x:c>
      <x:c r="L143" s="32" t="str">
        <x:v>Documentación</x:v>
      </x:c>
      <x:c r="M143" s="32" t="str">
        <x:v>Bajo</x:v>
      </x:c>
      <x:c r="N143" s="32" t="str">
        <x:v>Documentación de limitaciones del prototipo ML y servicio Flask</x:v>
      </x:c>
      <x:c r="O143" s="110" t="str">
        <x:v>2026-05-05</x:v>
      </x:c>
      <x:c r="P143" s="110" t="str">
        <x:v>2026-05-10</x:v>
      </x:c>
    </x:row>
    <x:row r="144">
      <x:c r="A144" s="80" t="str">
        <x:v>INT-012 Microservicio de Machine Learning</x:v>
      </x:c>
      <x:c r="B144" s="32" t="str">
        <x:v>INT-012-BOLT-010</x:v>
      </x:c>
      <x:c r="C144" s="32" t="str">
        <x:v>Probar microservicio con datos sintéticos</x:v>
      </x:c>
      <x:c r="D144" s="32" t="str">
        <x:v>Pruebas</x:v>
      </x:c>
      <x:c r="E144" s="32" t="str">
        <x:v>Sí</x:v>
      </x:c>
      <x:c r="F144" s="32" t="str">
        <x:v>backend/tests/Feature/RiesgoTest.php (datos sintéticos via mock/HTTP)</x:v>
      </x:c>
      <x:c r="G144" s="32" t="str">
        <x:v>Sí</x:v>
      </x:c>
      <x:c r="H144" s="32" t="str">
        <x:v>php artisan test --filter=RiesgoTest</x:v>
      </x:c>
      <x:c r="I144" s="32" t="str">
        <x:v>Completado</x:v>
      </x:c>
      <x:c r="J144" s="32" t="str">
        <x:v>Alta</x:v>
      </x:c>
      <x:c r="K144" s="32" t="str">
        <x:v>Equipo SIDERAE</x:v>
      </x:c>
      <x:c r="L144" s="32" t="str">
        <x:v>Pruebas</x:v>
      </x:c>
      <x:c r="M144" s="32" t="str">
        <x:v>Bajo</x:v>
      </x:c>
      <x:c r="N144" s="32" t="str">
        <x:v>Tests con datos sintéticos verificando la integración Laravel-Flask</x:v>
      </x:c>
      <x:c r="O144" s="110" t="str">
        <x:v>2026-05-05</x:v>
      </x:c>
      <x:c r="P144" s="110" t="str">
        <x:v>2026-05-10</x:v>
      </x:c>
    </x:row>
    <x:row r="145">
      <x:c r="A145" s="84" t="str">
        <x:v>INT-013 Alertas tempranas</x:v>
      </x:c>
      <x:c r="B145" s="32" t="str">
        <x:v>INT-013-BOLT-001</x:v>
      </x:c>
      <x:c r="C145" s="32" t="str">
        <x:v>Crear modelo de alerta</x:v>
      </x:c>
      <x:c r="D145" s="32" t="str">
        <x:v>Alertas</x:v>
      </x:c>
      <x:c r="E145" s="32" t="str">
        <x:v>Sí</x:v>
      </x:c>
      <x:c r="F145" s="32" t="str">
        <x:v>backend/app/Models/Alerta.php, backend/database/migrations/2026_04_23_024427_create_alertas_table.php</x:v>
      </x:c>
      <x:c r="G145" s="32" t="str">
        <x:v>Sí</x:v>
      </x:c>
      <x:c r="H145" s="32" t="str">
        <x:v>backend/tests/Feature/AlertaIntervencionTest.php</x:v>
      </x:c>
      <x:c r="I145" s="32" t="str">
        <x:v>Completado</x:v>
      </x:c>
      <x:c r="J145" s="32" t="str">
        <x:v>Alta</x:v>
      </x:c>
      <x:c r="K145" s="32" t="str">
        <x:v>Ernesto Marcial Constantino Chuchon Sotelo</x:v>
      </x:c>
      <x:c r="L145" s="32" t="str">
        <x:v>Base de datos</x:v>
      </x:c>
      <x:c r="M145" s="32" t="str">
        <x:v>Bajo</x:v>
      </x:c>
      <x:c r="N145" s="32" t="str">
        <x:v>Modelo con estados, factores_influyentes, recomendacion, cierre; migración con campos completos</x:v>
      </x:c>
      <x:c r="O145" s="110" t="str">
        <x:v>2026-04-23</x:v>
      </x:c>
      <x:c r="P145" s="110" t="str">
        <x:v>2026-04-23</x:v>
      </x:c>
    </x:row>
    <x:row r="146">
      <x:c r="A146" s="84" t="str">
        <x:v>INT-013 Alertas tempranas</x:v>
      </x:c>
      <x:c r="B146" s="32" t="str">
        <x:v>INT-013-BOLT-002</x:v>
      </x:c>
      <x:c r="C146" s="32" t="str">
        <x:v>Generar alerta cuando riesgo sea alto</x:v>
      </x:c>
      <x:c r="D146" s="32" t="str">
        <x:v>Alertas</x:v>
      </x:c>
      <x:c r="E146" s="32" t="str">
        <x:v>Sí</x:v>
      </x:c>
      <x:c r="F146" s="32" t="str">
        <x:v>backend/app/Models/Alerta.php (crearPorRiesgoAltoSiAplica: crea alerta solo si nivel=Alto)</x:v>
      </x:c>
      <x:c r="G146" s="32" t="str">
        <x:v>Sí</x:v>
      </x:c>
      <x:c r="H146" s="32" t="str">
        <x:v>backend/tests/Feature/AlertaIntervencionTest.php</x:v>
      </x:c>
      <x:c r="I146" s="32" t="str">
        <x:v>Completado</x:v>
      </x:c>
      <x:c r="J146" s="32" t="str">
        <x:v>Alta</x:v>
      </x:c>
      <x:c r="K146" s="32" t="str">
        <x:v>Ernesto Marcial Constantino Chuchon Sotelo</x:v>
      </x:c>
      <x:c r="L146" s="32" t="str">
        <x:v>Backend</x:v>
      </x:c>
      <x:c r="M146" s="32" t="str">
        <x:v>Bajo</x:v>
      </x:c>
      <x:c r="N146" s="32" t="str">
        <x:v>Método estático que crea alerta automática cuando índice de riesgo es Alto</x:v>
      </x:c>
      <x:c r="O146" s="110" t="str">
        <x:v>2026-04-23</x:v>
      </x:c>
      <x:c r="P146" s="110" t="str">
        <x:v>2026-05-05</x:v>
      </x:c>
    </x:row>
    <x:row r="147">
      <x:c r="A147" s="84" t="str">
        <x:v>INT-013 Alertas tempranas</x:v>
      </x:c>
      <x:c r="B147" s="32" t="str">
        <x:v>INT-013-BOLT-003</x:v>
      </x:c>
      <x:c r="C147" s="32" t="str">
        <x:v>Evitar duplicidad de alerta activa por estudiante</x:v>
      </x:c>
      <x:c r="D147" s="32" t="str">
        <x:v>Alertas</x:v>
      </x:c>
      <x:c r="E147" s="32" t="str">
        <x:v>Sí</x:v>
      </x:c>
      <x:c r="F147" s="32" t="str">
        <x:v>backend/app/Models/Alerta.php (existeActivaParaEstudiante: verifica estados pendiente/en_atencion)</x:v>
      </x:c>
      <x:c r="G147" s="32" t="str">
        <x:v>Sí</x:v>
      </x:c>
      <x:c r="H147" s="32" t="str">
        <x:v>backend/tests/Feature/AlertaIntervencionTest.php</x:v>
      </x:c>
      <x:c r="I147" s="32" t="str">
        <x:v>Completado</x:v>
      </x:c>
      <x:c r="J147" s="32" t="str">
        <x:v>Alta</x:v>
      </x:c>
      <x:c r="K147" s="32" t="str">
        <x:v>Ernesto Marcial Constantino Chuchon Sotelo</x:v>
      </x:c>
      <x:c r="L147" s="32" t="str">
        <x:v>Backend</x:v>
      </x:c>
      <x:c r="M147" s="32" t="str">
        <x:v>Bajo</x:v>
      </x:c>
      <x:c r="N147" s="32" t="str">
        <x:v>Método existeActivaParaEstudiante evita duplicación de alertas activas</x:v>
      </x:c>
      <x:c r="O147" s="110" t="str">
        <x:v>2026-04-23</x:v>
      </x:c>
      <x:c r="P147" s="110" t="str">
        <x:v>2026-05-05</x:v>
      </x:c>
    </x:row>
    <x:row r="148">
      <x:c r="A148" s="84" t="str">
        <x:v>INT-013 Alertas tempranas</x:v>
      </x:c>
      <x:c r="B148" s="32" t="str">
        <x:v>INT-013-BOLT-004</x:v>
      </x:c>
      <x:c r="C148" s="32" t="str">
        <x:v>Mostrar listado de alertas</x:v>
      </x:c>
      <x:c r="D148" s="32" t="str">
        <x:v>Alertas</x:v>
      </x:c>
      <x:c r="E148" s="32" t="str">
        <x:v>Sí</x:v>
      </x:c>
      <x:c r="F148" s="32" t="str">
        <x:v>backend/app/Http/Controllers/Api/AlertaController.php (index, show), frontend/src/components/alertas/AlertasPanel.jsx (19KB)</x:v>
      </x:c>
      <x:c r="G148" s="32" t="str">
        <x:v>Sí</x:v>
      </x:c>
      <x:c r="H148" s="32" t="str">
        <x:v>backend/tests/Feature/AlertaIntervencionTest.php</x:v>
      </x:c>
      <x:c r="I148" s="32" t="str">
        <x:v>Completado</x:v>
      </x:c>
      <x:c r="J148" s="32" t="str">
        <x:v>Alta</x:v>
      </x:c>
      <x:c r="K148" s="32" t="str">
        <x:v>Diego Ricardo Carhuamaca Vasquez</x:v>
      </x:c>
      <x:c r="L148" s="32" t="str">
        <x:v>Backend</x:v>
      </x:c>
      <x:c r="M148" s="32" t="str">
        <x:v>Bajo</x:v>
      </x:c>
      <x:c r="N148" s="32" t="str">
        <x:v>API GET /alertas con panel frontend completo para listado</x:v>
      </x:c>
      <x:c r="O148" s="110" t="str">
        <x:v>2026-04-23</x:v>
      </x:c>
      <x:c r="P148" s="110" t="str">
        <x:v>2026-05-10</x:v>
      </x:c>
    </x:row>
    <x:row r="149">
      <x:c r="A149" s="84" t="str">
        <x:v>INT-013 Alertas tempranas</x:v>
      </x:c>
      <x:c r="B149" s="32" t="str">
        <x:v>INT-013-BOLT-005</x:v>
      </x:c>
      <x:c r="C149" s="32" t="str">
        <x:v>Filtrar alertas por estado</x:v>
      </x:c>
      <x:c r="D149" s="32" t="str">
        <x:v>Alertas</x:v>
      </x:c>
      <x:c r="E149" s="32" t="str">
        <x:v>Sí</x:v>
      </x:c>
      <x:c r="F149" s="32" t="str">
        <x:v>frontend/src/components/alertas/AlertasPanel.jsx (filtros de estado)</x:v>
      </x:c>
      <x:c r="G149" s="32" t="str">
        <x:v>No</x:v>
      </x:c>
      <x:c r="H149" s="32" t="str">
        <x:v>Pendiente de adjuntar</x:v>
      </x:c>
      <x:c r="I149" s="32" t="str">
        <x:v>En proceso</x:v>
      </x:c>
      <x:c r="J149" s="32" t="str">
        <x:v>Media</x:v>
      </x:c>
      <x:c r="K149" s="32" t="str">
        <x:v>Diego Ricardo Carhuamaca Vasquez</x:v>
      </x:c>
      <x:c r="L149" s="32" t="str">
        <x:v>Frontend</x:v>
      </x:c>
      <x:c r="M149" s="32" t="str">
        <x:v>Bajo</x:v>
      </x:c>
      <x:c r="N149" s="32" t="str">
        <x:v>Filtros de estado implementados en panel frontend; falta filtro en API backend</x:v>
      </x:c>
      <x:c r="O149" s="110" t="str">
        <x:v>2026-05-10</x:v>
      </x:c>
      <x:c r="P149" s="110" t="str">
        <x:v>Pendiente</x:v>
      </x:c>
    </x:row>
    <x:row r="150">
      <x:c r="A150" s="84" t="str">
        <x:v>INT-013 Alertas tempranas</x:v>
      </x:c>
      <x:c r="B150" s="32" t="str">
        <x:v>INT-013-BOLT-006</x:v>
      </x:c>
      <x:c r="C150" s="32" t="str">
        <x:v>Filtrar alertas por nivel de riesgo</x:v>
      </x:c>
      <x:c r="D150" s="32" t="str">
        <x:v>Alertas</x:v>
      </x:c>
      <x:c r="E150" s="32" t="str">
        <x:v>No</x:v>
      </x:c>
      <x:c r="F150" s="32" t="str">
        <x:v>Pendiente de adjuntar</x:v>
      </x:c>
      <x:c r="G150" s="32" t="str">
        <x:v>No</x:v>
      </x:c>
      <x:c r="H150" s="32" t="str">
        <x:v>No aplica</x:v>
      </x:c>
      <x:c r="I150" s="32" t="str">
        <x:v>Pendiente</x:v>
      </x:c>
      <x:c r="J150" s="32" t="str">
        <x:v>Media</x:v>
      </x:c>
      <x:c r="K150" s="32" t="str">
        <x:v>Diego Ricardo Carhuamaca Vasquez</x:v>
      </x:c>
      <x:c r="L150" s="32" t="str">
        <x:v>Backend</x:v>
      </x:c>
      <x:c r="M150" s="32" t="str">
        <x:v>Medio</x:v>
      </x:c>
      <x:c r="N150" s="32" t="str">
        <x:v>No se encontró filtro explícito por nivel de riesgo en el endpoint de alertas</x:v>
      </x:c>
      <x:c r="O150" s="110" t="str">
        <x:v>2026-07-15</x:v>
      </x:c>
      <x:c r="P150" s="110" t="str">
        <x:v>Pendiente</x:v>
      </x:c>
    </x:row>
    <x:row r="151">
      <x:c r="A151" s="84" t="str">
        <x:v>INT-013 Alertas tempranas</x:v>
      </x:c>
      <x:c r="B151" s="32" t="str">
        <x:v>INT-013-BOLT-007</x:v>
      </x:c>
      <x:c r="C151" s="32" t="str">
        <x:v>Asociar alerta con índice de riesgo</x:v>
      </x:c>
      <x:c r="D151" s="32" t="str">
        <x:v>Alertas</x:v>
      </x:c>
      <x:c r="E151" s="32" t="str">
        <x:v>Sí</x:v>
      </x:c>
      <x:c r="F151" s="32" t="str">
        <x:v>backend/app/Models/Alerta.php (relación indiceRiesgo BelongsTo, campo indice_riesgo_id)</x:v>
      </x:c>
      <x:c r="G151" s="32" t="str">
        <x:v>Sí</x:v>
      </x:c>
      <x:c r="H151" s="32" t="str">
        <x:v>backend/tests/Feature/AlertaIntervencionTest.php</x:v>
      </x:c>
      <x:c r="I151" s="32" t="str">
        <x:v>Completado</x:v>
      </x:c>
      <x:c r="J151" s="32" t="str">
        <x:v>Alta</x:v>
      </x:c>
      <x:c r="K151" s="32" t="str">
        <x:v>Ernesto Marcial Constantino Chuchon Sotelo</x:v>
      </x:c>
      <x:c r="L151" s="32" t="str">
        <x:v>Backend</x:v>
      </x:c>
      <x:c r="M151" s="32" t="str">
        <x:v>Bajo</x:v>
      </x:c>
      <x:c r="N151" s="32" t="str">
        <x:v>Alerta vinculada a IndiceRiesgo vía foreign key</x:v>
      </x:c>
      <x:c r="O151" s="110" t="str">
        <x:v>2026-04-23</x:v>
      </x:c>
      <x:c r="P151" s="110" t="str">
        <x:v>2026-05-05</x:v>
      </x:c>
    </x:row>
    <x:row r="152">
      <x:c r="A152" s="84" t="str">
        <x:v>INT-013 Alertas tempranas</x:v>
      </x:c>
      <x:c r="B152" s="32" t="str">
        <x:v>INT-013-BOLT-008</x:v>
      </x:c>
      <x:c r="C152" s="32" t="str">
        <x:v>Registrar fecha y responsable</x:v>
      </x:c>
      <x:c r="D152" s="32" t="str">
        <x:v>Alertas</x:v>
      </x:c>
      <x:c r="E152" s="32" t="str">
        <x:v>Sí</x:v>
      </x:c>
      <x:c r="F152" s="32" t="str">
        <x:v>backend/app/Models/Alerta.php (campos cerrada_por, fecha_cierre, timestamps)</x:v>
      </x:c>
      <x:c r="G152" s="32" t="str">
        <x:v>Sí</x:v>
      </x:c>
      <x:c r="H152" s="32" t="str">
        <x:v>backend/tests/Feature/AlertaIntervencionTest.php</x:v>
      </x:c>
      <x:c r="I152" s="32" t="str">
        <x:v>Completado</x:v>
      </x:c>
      <x:c r="J152" s="32" t="str">
        <x:v>Media</x:v>
      </x:c>
      <x:c r="K152" s="32" t="str">
        <x:v>Ernesto Marcial Constantino Chuchon Sotelo</x:v>
      </x:c>
      <x:c r="L152" s="32" t="str">
        <x:v>Backend</x:v>
      </x:c>
      <x:c r="M152" s="32" t="str">
        <x:v>Bajo</x:v>
      </x:c>
      <x:c r="N152" s="32" t="str">
        <x:v>Timestamps automáticos + campos de cierre con responsable</x:v>
      </x:c>
      <x:c r="O152" s="110" t="str">
        <x:v>2026-04-23</x:v>
      </x:c>
      <x:c r="P152" s="110" t="str">
        <x:v>2026-05-05</x:v>
      </x:c>
    </x:row>
    <x:row r="153">
      <x:c r="A153" s="84" t="str">
        <x:v>INT-013 Alertas tempranas</x:v>
      </x:c>
      <x:c r="B153" s="32" t="str">
        <x:v>INT-013-BOLT-009</x:v>
      </x:c>
      <x:c r="C153" s="32" t="str">
        <x:v>Probar generación automática de alerta</x:v>
      </x:c>
      <x:c r="D153" s="32" t="str">
        <x:v>Pruebas</x:v>
      </x:c>
      <x:c r="E153" s="32" t="str">
        <x:v>Sí</x:v>
      </x:c>
      <x:c r="F153" s="32" t="str">
        <x:v>backend/tests/Feature/AlertaIntervencionTest.php</x:v>
      </x:c>
      <x:c r="G153" s="32" t="str">
        <x:v>Sí</x:v>
      </x:c>
      <x:c r="H153" s="32" t="str">
        <x:v>php artisan test --filter=AlertaIntervencionTest</x:v>
      </x:c>
      <x:c r="I153" s="32" t="str">
        <x:v>Completado</x:v>
      </x:c>
      <x:c r="J153" s="32" t="str">
        <x:v>Alta</x:v>
      </x:c>
      <x:c r="K153" s="32" t="str">
        <x:v>Equipo SIDERAE</x:v>
      </x:c>
      <x:c r="L153" s="32" t="str">
        <x:v>Pruebas</x:v>
      </x:c>
      <x:c r="M153" s="32" t="str">
        <x:v>Bajo</x:v>
      </x:c>
      <x:c r="N153" s="32" t="str">
        <x:v>Tests verifican generación automática de alerta por riesgo alto</x:v>
      </x:c>
      <x:c r="O153" s="110" t="str">
        <x:v>2026-05-05</x:v>
      </x:c>
      <x:c r="P153" s="110" t="str">
        <x:v>2026-05-10</x:v>
      </x:c>
    </x:row>
    <x:row r="154">
      <x:c r="A154" s="84" t="str">
        <x:v>INT-013 Alertas tempranas</x:v>
      </x:c>
      <x:c r="B154" s="32" t="str">
        <x:v>INT-013-BOLT-010</x:v>
      </x:c>
      <x:c r="C154" s="32" t="str">
        <x:v>Probar alerta no duplicada</x:v>
      </x:c>
      <x:c r="D154" s="32" t="str">
        <x:v>Pruebas</x:v>
      </x:c>
      <x:c r="E154" s="32" t="str">
        <x:v>Sí</x:v>
      </x:c>
      <x:c r="F154" s="32" t="str">
        <x:v>backend/tests/Feature/AlertaIntervencionTest.php</x:v>
      </x:c>
      <x:c r="G154" s="32" t="str">
        <x:v>Sí</x:v>
      </x:c>
      <x:c r="H154" s="32" t="str">
        <x:v>php artisan test --filter=AlertaIntervencionTest</x:v>
      </x:c>
      <x:c r="I154" s="32" t="str">
        <x:v>Completado</x:v>
      </x:c>
      <x:c r="J154" s="32" t="str">
        <x:v>Alta</x:v>
      </x:c>
      <x:c r="K154" s="32" t="str">
        <x:v>Equipo SIDERAE</x:v>
      </x:c>
      <x:c r="L154" s="32" t="str">
        <x:v>Pruebas</x:v>
      </x:c>
      <x:c r="M154" s="32" t="str">
        <x:v>Bajo</x:v>
      </x:c>
      <x:c r="N154" s="32" t="str">
        <x:v>Tests verifican que no se crean alertas duplicadas activas</x:v>
      </x:c>
      <x:c r="O154" s="110" t="str">
        <x:v>2026-05-05</x:v>
      </x:c>
      <x:c r="P154" s="110" t="str">
        <x:v>2026-05-10</x:v>
      </x:c>
    </x:row>
    <x:row r="155">
      <x:c r="A155" s="88" t="str">
        <x:v>INT-014 Intervenciones y seguimiento</x:v>
      </x:c>
      <x:c r="B155" s="32" t="str">
        <x:v>INT-014-BOLT-001</x:v>
      </x:c>
      <x:c r="C155" s="32" t="str">
        <x:v>Crear modelo de intervención</x:v>
      </x:c>
      <x:c r="D155" s="32" t="str">
        <x:v>Intervenciones</x:v>
      </x:c>
      <x:c r="E155" s="32" t="str">
        <x:v>Sí</x:v>
      </x:c>
      <x:c r="F155" s="32" t="str">
        <x:v>backend/app/Models/Intervencion.php, backend/database/migrations/2026_04_23_024457_create_intervenciones_table.php</x:v>
      </x:c>
      <x:c r="G155" s="32" t="str">
        <x:v>Sí</x:v>
      </x:c>
      <x:c r="H155" s="32" t="str">
        <x:v>backend/tests/Feature/AlertaIntervencionTest.php</x:v>
      </x:c>
      <x:c r="I155" s="32" t="str">
        <x:v>Completado</x:v>
      </x:c>
      <x:c r="J155" s="32" t="str">
        <x:v>Alta</x:v>
      </x:c>
      <x:c r="K155" s="32" t="str">
        <x:v>Ernesto Marcial Constantino Chuchon Sotelo</x:v>
      </x:c>
      <x:c r="L155" s="32" t="str">
        <x:v>Base de datos</x:v>
      </x:c>
      <x:c r="M155" s="32" t="str">
        <x:v>Bajo</x:v>
      </x:c>
      <x:c r="N155" s="32" t="str">
        <x:v>Modelo con fillable: alerta_id, estudiante_id, registrado_por, tipo, descripcion, fecha</x:v>
      </x:c>
      <x:c r="O155" s="110" t="str">
        <x:v>2026-04-23</x:v>
      </x:c>
      <x:c r="P155" s="110" t="str">
        <x:v>2026-04-23</x:v>
      </x:c>
    </x:row>
    <x:row r="156">
      <x:c r="A156" s="88" t="str">
        <x:v>INT-014 Intervenciones y seguimiento</x:v>
      </x:c>
      <x:c r="B156" s="32" t="str">
        <x:v>INT-014-BOLT-002</x:v>
      </x:c>
      <x:c r="C156" s="32" t="str">
        <x:v>Registrar intervención sobre alerta</x:v>
      </x:c>
      <x:c r="D156" s="32" t="str">
        <x:v>Intervenciones</x:v>
      </x:c>
      <x:c r="E156" s="32" t="str">
        <x:v>Sí</x:v>
      </x:c>
      <x:c r="F156" s="32" t="str">
        <x:v>backend/app/Http/Controllers/Api/IntervencionController.php (store), backend/app/Http/Requests/StoreIntervencionRequest.php</x:v>
      </x:c>
      <x:c r="G156" s="32" t="str">
        <x:v>Sí</x:v>
      </x:c>
      <x:c r="H156" s="32" t="str">
        <x:v>backend/tests/Feature/AlertaIntervencionTest.php</x:v>
      </x:c>
      <x:c r="I156" s="32" t="str">
        <x:v>Completado</x:v>
      </x:c>
      <x:c r="J156" s="32" t="str">
        <x:v>Alta</x:v>
      </x:c>
      <x:c r="K156" s="32" t="str">
        <x:v>Diego Ricardo Carhuamaca Vasquez</x:v>
      </x:c>
      <x:c r="L156" s="32" t="str">
        <x:v>Backend</x:v>
      </x:c>
      <x:c r="M156" s="32" t="str">
        <x:v>Bajo</x:v>
      </x:c>
      <x:c r="N156" s="32" t="str">
        <x:v>Endpoint POST /alertas/{id}/intervenciones con validación</x:v>
      </x:c>
      <x:c r="O156" s="110" t="str">
        <x:v>2026-04-23</x:v>
      </x:c>
      <x:c r="P156" s="110" t="str">
        <x:v>2026-05-05</x:v>
      </x:c>
    </x:row>
    <x:row r="157">
      <x:c r="A157" s="88" t="str">
        <x:v>INT-014 Intervenciones y seguimiento</x:v>
      </x:c>
      <x:c r="B157" s="32" t="str">
        <x:v>INT-014-BOLT-003</x:v>
      </x:c>
      <x:c r="C157" s="32" t="str">
        <x:v>Registrar tipo de intervención</x:v>
      </x:c>
      <x:c r="D157" s="32" t="str">
        <x:v>Intervenciones</x:v>
      </x:c>
      <x:c r="E157" s="32" t="str">
        <x:v>Sí</x:v>
      </x:c>
      <x:c r="F157" s="32" t="str">
        <x:v>backend/app/Models/Intervencion.php (campo tipo fillable)</x:v>
      </x:c>
      <x:c r="G157" s="32" t="str">
        <x:v>Sí</x:v>
      </x:c>
      <x:c r="H157" s="32" t="str">
        <x:v>backend/tests/Feature/AlertaIntervencionTest.php</x:v>
      </x:c>
      <x:c r="I157" s="32" t="str">
        <x:v>En proceso</x:v>
      </x:c>
      <x:c r="J157" s="32" t="str">
        <x:v>Media</x:v>
      </x:c>
      <x:c r="K157" s="32" t="str">
        <x:v>Ernesto Marcial Constantino Chuchon Sotelo</x:v>
      </x:c>
      <x:c r="L157" s="32" t="str">
        <x:v>Backend</x:v>
      </x:c>
      <x:c r="M157" s="32" t="str">
        <x:v>Bajo</x:v>
      </x:c>
      <x:c r="N157" s="32" t="str">
        <x:v>Campo tipo disponible; falta catálogo cerrado de tipos de intervención</x:v>
      </x:c>
      <x:c r="O157" s="110" t="str">
        <x:v>2026-05-05</x:v>
      </x:c>
      <x:c r="P157" s="110" t="str">
        <x:v>Pendiente</x:v>
      </x:c>
    </x:row>
    <x:row r="158">
      <x:c r="A158" s="88" t="str">
        <x:v>INT-014 Intervenciones y seguimiento</x:v>
      </x:c>
      <x:c r="B158" s="32" t="str">
        <x:v>INT-014-BOLT-004</x:v>
      </x:c>
      <x:c r="C158" s="32" t="str">
        <x:v>Registrar responsable de intervención</x:v>
      </x:c>
      <x:c r="D158" s="32" t="str">
        <x:v>Intervenciones</x:v>
      </x:c>
      <x:c r="E158" s="32" t="str">
        <x:v>Sí</x:v>
      </x:c>
      <x:c r="F158" s="32" t="str">
        <x:v>backend/app/Models/Intervencion.php (relación registradoPor BelongsTo User)</x:v>
      </x:c>
      <x:c r="G158" s="32" t="str">
        <x:v>Sí</x:v>
      </x:c>
      <x:c r="H158" s="32" t="str">
        <x:v>backend/tests/Feature/AlertaIntervencionTest.php</x:v>
      </x:c>
      <x:c r="I158" s="32" t="str">
        <x:v>Completado</x:v>
      </x:c>
      <x:c r="J158" s="32" t="str">
        <x:v>Media</x:v>
      </x:c>
      <x:c r="K158" s="32" t="str">
        <x:v>Ernesto Marcial Constantino Chuchon Sotelo</x:v>
      </x:c>
      <x:c r="L158" s="32" t="str">
        <x:v>Backend</x:v>
      </x:c>
      <x:c r="M158" s="32" t="str">
        <x:v>Bajo</x:v>
      </x:c>
      <x:c r="N158" s="32" t="str">
        <x:v>Relación registradoPor con User para responsable de intervención</x:v>
      </x:c>
      <x:c r="O158" s="110" t="str">
        <x:v>2026-04-23</x:v>
      </x:c>
      <x:c r="P158" s="110" t="str">
        <x:v>2026-05-05</x:v>
      </x:c>
    </x:row>
    <x:row r="159">
      <x:c r="A159" s="88" t="str">
        <x:v>INT-014 Intervenciones y seguimiento</x:v>
      </x:c>
      <x:c r="B159" s="32" t="str">
        <x:v>INT-014-BOLT-005</x:v>
      </x:c>
      <x:c r="C159" s="32" t="str">
        <x:v>Registrar descripción y resultado</x:v>
      </x:c>
      <x:c r="D159" s="32" t="str">
        <x:v>Intervenciones</x:v>
      </x:c>
      <x:c r="E159" s="32" t="str">
        <x:v>Sí</x:v>
      </x:c>
      <x:c r="F159" s="32" t="str">
        <x:v>backend/app/Models/Intervencion.php (campo descripcion fillable)</x:v>
      </x:c>
      <x:c r="G159" s="32" t="str">
        <x:v>Sí</x:v>
      </x:c>
      <x:c r="H159" s="32" t="str">
        <x:v>backend/tests/Feature/AlertaIntervencionTest.php</x:v>
      </x:c>
      <x:c r="I159" s="32" t="str">
        <x:v>En proceso</x:v>
      </x:c>
      <x:c r="J159" s="32" t="str">
        <x:v>Media</x:v>
      </x:c>
      <x:c r="K159" s="32" t="str">
        <x:v>Diego Ricardo Carhuamaca Vasquez</x:v>
      </x:c>
      <x:c r="L159" s="32" t="str">
        <x:v>Backend</x:v>
      </x:c>
      <x:c r="M159" s="32" t="str">
        <x:v>Bajo</x:v>
      </x:c>
      <x:c r="N159" s="32" t="str">
        <x:v>Campo descripcion existe; falta campo resultado explícito</x:v>
      </x:c>
      <x:c r="O159" s="110" t="str">
        <x:v>2026-05-05</x:v>
      </x:c>
      <x:c r="P159" s="110" t="str">
        <x:v>Pendiente</x:v>
      </x:c>
    </x:row>
    <x:row r="160">
      <x:c r="A160" s="88" t="str">
        <x:v>INT-014 Intervenciones y seguimiento</x:v>
      </x:c>
      <x:c r="B160" s="32" t="str">
        <x:v>INT-014-BOLT-006</x:v>
      </x:c>
      <x:c r="C160" s="32" t="str">
        <x:v>Asociar intervención con estudiante y alerta</x:v>
      </x:c>
      <x:c r="D160" s="32" t="str">
        <x:v>Intervenciones</x:v>
      </x:c>
      <x:c r="E160" s="32" t="str">
        <x:v>Sí</x:v>
      </x:c>
      <x:c r="F160" s="32" t="str">
        <x:v>backend/app/Models/Intervencion.php (relaciones alerta BelongsTo y estudiante BelongsTo)</x:v>
      </x:c>
      <x:c r="G160" s="32" t="str">
        <x:v>Sí</x:v>
      </x:c>
      <x:c r="H160" s="32" t="str">
        <x:v>backend/tests/Feature/AlertaIntervencionTest.php</x:v>
      </x:c>
      <x:c r="I160" s="32" t="str">
        <x:v>Completado</x:v>
      </x:c>
      <x:c r="J160" s="32" t="str">
        <x:v>Alta</x:v>
      </x:c>
      <x:c r="K160" s="32" t="str">
        <x:v>Ernesto Marcial Constantino Chuchon Sotelo</x:v>
      </x:c>
      <x:c r="L160" s="32" t="str">
        <x:v>Backend</x:v>
      </x:c>
      <x:c r="M160" s="32" t="str">
        <x:v>Bajo</x:v>
      </x:c>
      <x:c r="N160" s="32" t="str">
        <x:v>Relaciones con Alerta y Estudiante implementadas</x:v>
      </x:c>
      <x:c r="O160" s="110" t="str">
        <x:v>2026-04-23</x:v>
      </x:c>
      <x:c r="P160" s="110" t="str">
        <x:v>2026-05-05</x:v>
      </x:c>
    </x:row>
    <x:row r="161">
      <x:c r="A161" s="88" t="str">
        <x:v>INT-014 Intervenciones y seguimiento</x:v>
      </x:c>
      <x:c r="B161" s="32" t="str">
        <x:v>INT-014-BOLT-007</x:v>
      </x:c>
      <x:c r="C161" s="32" t="str">
        <x:v>Consultar historial de intervenciones</x:v>
      </x:c>
      <x:c r="D161" s="32" t="str">
        <x:v>Intervenciones</x:v>
      </x:c>
      <x:c r="E161" s="32" t="str">
        <x:v>Sí</x:v>
      </x:c>
      <x:c r="F161" s="32" t="str">
        <x:v>backend/app/Models/Alerta.php (relación intervenciones HasMany), frontend/src/components/alertas/AlertasPanel.jsx</x:v>
      </x:c>
      <x:c r="G161" s="32" t="str">
        <x:v>No</x:v>
      </x:c>
      <x:c r="H161" s="32" t="str">
        <x:v>Pendiente de adjuntar</x:v>
      </x:c>
      <x:c r="I161" s="32" t="str">
        <x:v>En proceso</x:v>
      </x:c>
      <x:c r="J161" s="32" t="str">
        <x:v>Media</x:v>
      </x:c>
      <x:c r="K161" s="32" t="str">
        <x:v>Diego Ricardo Carhuamaca Vasquez</x:v>
      </x:c>
      <x:c r="L161" s="32" t="str">
        <x:v>Frontend</x:v>
      </x:c>
      <x:c r="M161" s="32" t="str">
        <x:v>Bajo</x:v>
      </x:c>
      <x:c r="N161" s="32" t="str">
        <x:v>Alerta tiene relación HasMany con intervenciones; panel frontend muestra historial</x:v>
      </x:c>
      <x:c r="O161" s="110" t="str">
        <x:v>2026-05-10</x:v>
      </x:c>
      <x:c r="P161" s="110" t="str">
        <x:v>Pendiente</x:v>
      </x:c>
    </x:row>
    <x:row r="162">
      <x:c r="A162" s="88" t="str">
        <x:v>INT-014 Intervenciones y seguimiento</x:v>
      </x:c>
      <x:c r="B162" s="32" t="str">
        <x:v>INT-014-BOLT-008</x:v>
      </x:c>
      <x:c r="C162" s="32" t="str">
        <x:v>Validar que una alerta no pueda cerrarse sin intervención</x:v>
      </x:c>
      <x:c r="D162" s="32" t="str">
        <x:v>Intervenciones</x:v>
      </x:c>
      <x:c r="E162" s="32" t="str">
        <x:v>Sí</x:v>
      </x:c>
      <x:c r="F162" s="32" t="str">
        <x:v>backend/app/Http/Controllers/Api/AlertaCierreController.php, backend/app/Http/Requests/CerrarAlertaRequest.php</x:v>
      </x:c>
      <x:c r="G162" s="32" t="str">
        <x:v>Sí</x:v>
      </x:c>
      <x:c r="H162" s="32" t="str">
        <x:v>backend/tests/Feature/AlertaIntervencionTest.php</x:v>
      </x:c>
      <x:c r="I162" s="32" t="str">
        <x:v>Completado</x:v>
      </x:c>
      <x:c r="J162" s="32" t="str">
        <x:v>Alta</x:v>
      </x:c>
      <x:c r="K162" s="32" t="str">
        <x:v>Ernesto Marcial Constantino Chuchon Sotelo</x:v>
      </x:c>
      <x:c r="L162" s="32" t="str">
        <x:v>Backend</x:v>
      </x:c>
      <x:c r="M162" s="32" t="str">
        <x:v>Bajo</x:v>
      </x:c>
      <x:c r="N162" s="32" t="str">
        <x:v>AlertaCierreController con validación de intervención previa al cierre</x:v>
      </x:c>
      <x:c r="O162" s="110" t="str">
        <x:v>2026-05-05</x:v>
      </x:c>
      <x:c r="P162" s="110" t="str">
        <x:v>2026-05-10</x:v>
      </x:c>
    </x:row>
    <x:row r="163">
      <x:c r="A163" s="88" t="str">
        <x:v>INT-014 Intervenciones y seguimiento</x:v>
      </x:c>
      <x:c r="B163" s="32" t="str">
        <x:v>INT-014-BOLT-009</x:v>
      </x:c>
      <x:c r="C163" s="32" t="str">
        <x:v>Cerrar alerta con evidencia</x:v>
      </x:c>
      <x:c r="D163" s="32" t="str">
        <x:v>Intervenciones</x:v>
      </x:c>
      <x:c r="E163" s="32" t="str">
        <x:v>Sí</x:v>
      </x:c>
      <x:c r="F163" s="32" t="str">
        <x:v>backend/app/Http/Controllers/Api/AlertaCierreController.php (store), backend/app/Models/Alerta.php (campos resultado_cierre, cerrada_por, fecha_cierre)</x:v>
      </x:c>
      <x:c r="G163" s="32" t="str">
        <x:v>Sí</x:v>
      </x:c>
      <x:c r="H163" s="32" t="str">
        <x:v>backend/tests/Feature/AlertaIntervencionTest.php</x:v>
      </x:c>
      <x:c r="I163" s="32" t="str">
        <x:v>Completado</x:v>
      </x:c>
      <x:c r="J163" s="32" t="str">
        <x:v>Alta</x:v>
      </x:c>
      <x:c r="K163" s="32" t="str">
        <x:v>Ernesto Marcial Constantino Chuchon Sotelo</x:v>
      </x:c>
      <x:c r="L163" s="32" t="str">
        <x:v>Backend</x:v>
      </x:c>
      <x:c r="M163" s="32" t="str">
        <x:v>Bajo</x:v>
      </x:c>
      <x:c r="N163" s="32" t="str">
        <x:v>Cierre de alerta con resultado, responsable y fecha de cierre</x:v>
      </x:c>
      <x:c r="O163" s="110" t="str">
        <x:v>2026-05-05</x:v>
      </x:c>
      <x:c r="P163" s="110" t="str">
        <x:v>2026-05-10</x:v>
      </x:c>
    </x:row>
    <x:row r="164">
      <x:c r="A164" s="88" t="str">
        <x:v>INT-014 Intervenciones y seguimiento</x:v>
      </x:c>
      <x:c r="B164" s="32" t="str">
        <x:v>INT-014-BOLT-010</x:v>
      </x:c>
      <x:c r="C164" s="32" t="str">
        <x:v>Probar flujo alerta → intervención → cierre</x:v>
      </x:c>
      <x:c r="D164" s="32" t="str">
        <x:v>Pruebas</x:v>
      </x:c>
      <x:c r="E164" s="32" t="str">
        <x:v>Sí</x:v>
      </x:c>
      <x:c r="F164" s="32" t="str">
        <x:v>backend/tests/Feature/AlertaIntervencionTest.php (14KB de tests)</x:v>
      </x:c>
      <x:c r="G164" s="32" t="str">
        <x:v>Sí</x:v>
      </x:c>
      <x:c r="H164" s="32" t="str">
        <x:v>php artisan test --filter=AlertaIntervencionTest</x:v>
      </x:c>
      <x:c r="I164" s="32" t="str">
        <x:v>Completado</x:v>
      </x:c>
      <x:c r="J164" s="32" t="str">
        <x:v>Alta</x:v>
      </x:c>
      <x:c r="K164" s="32" t="str">
        <x:v>Equipo SIDERAE</x:v>
      </x:c>
      <x:c r="L164" s="32" t="str">
        <x:v>Pruebas</x:v>
      </x:c>
      <x:c r="M164" s="32" t="str">
        <x:v>Bajo</x:v>
      </x:c>
      <x:c r="N164" s="32" t="str">
        <x:v>Tests completos del flujo alerta-intervención-cierre</x:v>
      </x:c>
      <x:c r="O164" s="110" t="str">
        <x:v>2026-05-05</x:v>
      </x:c>
      <x:c r="P164" s="110" t="str">
        <x:v>2026-05-10</x:v>
      </x:c>
    </x:row>
    <x:row r="165">
      <x:c r="A165" s="92" t="str">
        <x:v>INT-015 Dashboard y reportes</x:v>
      </x:c>
      <x:c r="B165" s="32" t="str">
        <x:v>INT-015-BOLT-001</x:v>
      </x:c>
      <x:c r="C165" s="32" t="str">
        <x:v>Crear DashboardController</x:v>
      </x:c>
      <x:c r="D165" s="32" t="str">
        <x:v>Dashboard</x:v>
      </x:c>
      <x:c r="E165" s="32" t="str">
        <x:v>Sí</x:v>
      </x:c>
      <x:c r="F165" s="32" t="str">
        <x:v>backend/app/Http/Controllers/Api/DashboardController.php (295 líneas, 10KB)</x:v>
      </x:c>
      <x:c r="G165" s="32" t="str">
        <x:v>Sí</x:v>
      </x:c>
      <x:c r="H165" s="32" t="str">
        <x:v>backend/tests/Feature/DashboardTest.php (11KB)</x:v>
      </x:c>
      <x:c r="I165" s="32" t="str">
        <x:v>Completado</x:v>
      </x:c>
      <x:c r="J165" s="32" t="str">
        <x:v>Alta</x:v>
      </x:c>
      <x:c r="K165" s="32" t="str">
        <x:v>Ernesto Marcial Constantino Chuchon Sotelo</x:v>
      </x:c>
      <x:c r="L165" s="32" t="str">
        <x:v>Backend</x:v>
      </x:c>
      <x:c r="M165" s="32" t="str">
        <x:v>Bajo</x:v>
      </x:c>
      <x:c r="N165" s="32" t="str">
        <x:v>DashboardController con index(), export() y lógica de filtros</x:v>
      </x:c>
      <x:c r="O165" s="110" t="str">
        <x:v>2026-04-25</x:v>
      </x:c>
      <x:c r="P165" s="110" t="str">
        <x:v>2026-05-10</x:v>
      </x:c>
    </x:row>
    <x:row r="166">
      <x:c r="A166" s="92" t="str">
        <x:v>INT-015 Dashboard y reportes</x:v>
      </x:c>
      <x:c r="B166" s="32" t="str">
        <x:v>INT-015-BOLT-002</x:v>
      </x:c>
      <x:c r="C166" s="32" t="str">
        <x:v>Mostrar total de estudiantes</x:v>
      </x:c>
      <x:c r="D166" s="32" t="str">
        <x:v>Dashboard</x:v>
      </x:c>
      <x:c r="E166" s="32" t="str">
        <x:v>Sí</x:v>
      </x:c>
      <x:c r="F166" s="32" t="str">
        <x:v>backend/app/Http/Controllers/Api/DashboardController.php (total_estudiantes en respuesta JSON)</x:v>
      </x:c>
      <x:c r="G166" s="32" t="str">
        <x:v>Sí</x:v>
      </x:c>
      <x:c r="H166" s="32" t="str">
        <x:v>backend/tests/Feature/DashboardTest.php</x:v>
      </x:c>
      <x:c r="I166" s="32" t="str">
        <x:v>Completado</x:v>
      </x:c>
      <x:c r="J166" s="32" t="str">
        <x:v>Alta</x:v>
      </x:c>
      <x:c r="K166" s="32" t="str">
        <x:v>Diego Ricardo Carhuamaca Vasquez</x:v>
      </x:c>
      <x:c r="L166" s="32" t="str">
        <x:v>Backend</x:v>
      </x:c>
      <x:c r="M166" s="32" t="str">
        <x:v>Bajo</x:v>
      </x:c>
      <x:c r="N166" s="32" t="str">
        <x:v>Campo total_estudiantes en respuesta del dashboard</x:v>
      </x:c>
      <x:c r="O166" s="110" t="str">
        <x:v>2026-04-25</x:v>
      </x:c>
      <x:c r="P166" s="110" t="str">
        <x:v>2026-05-10</x:v>
      </x:c>
    </x:row>
    <x:row r="167">
      <x:c r="A167" s="92" t="str">
        <x:v>INT-015 Dashboard y reportes</x:v>
      </x:c>
      <x:c r="B167" s="32" t="str">
        <x:v>INT-015-BOLT-003</x:v>
      </x:c>
      <x:c r="C167" s="32" t="str">
        <x:v>Mostrar estudiantes por nivel de riesgo</x:v>
      </x:c>
      <x:c r="D167" s="32" t="str">
        <x:v>Dashboard</x:v>
      </x:c>
      <x:c r="E167" s="32" t="str">
        <x:v>Sí</x:v>
      </x:c>
      <x:c r="F167" s="32" t="str">
        <x:v>backend/app/Http/Controllers/Api/DashboardController.php (riesgos_por_nivel, porcentajes_riesgo)</x:v>
      </x:c>
      <x:c r="G167" s="32" t="str">
        <x:v>Sí</x:v>
      </x:c>
      <x:c r="H167" s="32" t="str">
        <x:v>backend/tests/Feature/DashboardTest.php</x:v>
      </x:c>
      <x:c r="I167" s="32" t="str">
        <x:v>Completado</x:v>
      </x:c>
      <x:c r="J167" s="32" t="str">
        <x:v>Alta</x:v>
      </x:c>
      <x:c r="K167" s="32" t="str">
        <x:v>Diego Ricardo Carhuamaca Vasquez</x:v>
      </x:c>
      <x:c r="L167" s="32" t="str">
        <x:v>Backend</x:v>
      </x:c>
      <x:c r="M167" s="32" t="str">
        <x:v>Bajo</x:v>
      </x:c>
      <x:c r="N167" s="32" t="str">
        <x:v>Desglose alto/medio/bajo con porcentajes</x:v>
      </x:c>
      <x:c r="O167" s="110" t="str">
        <x:v>2026-04-25</x:v>
      </x:c>
      <x:c r="P167" s="110" t="str">
        <x:v>2026-05-10</x:v>
      </x:c>
    </x:row>
    <x:row r="168">
      <x:c r="A168" s="92" t="str">
        <x:v>INT-015 Dashboard y reportes</x:v>
      </x:c>
      <x:c r="B168" s="32" t="str">
        <x:v>INT-015-BOLT-004</x:v>
      </x:c>
      <x:c r="C168" s="32" t="str">
        <x:v>Mostrar alertas activas</x:v>
      </x:c>
      <x:c r="D168" s="32" t="str">
        <x:v>Dashboard</x:v>
      </x:c>
      <x:c r="E168" s="32" t="str">
        <x:v>Sí</x:v>
      </x:c>
      <x:c r="F168" s="32" t="str">
        <x:v>backend/app/Http/Controllers/Api/DashboardController.php (alertas_por_estado: pendiente, en_atencion)</x:v>
      </x:c>
      <x:c r="G168" s="32" t="str">
        <x:v>Sí</x:v>
      </x:c>
      <x:c r="H168" s="32" t="str">
        <x:v>backend/tests/Feature/DashboardTest.php</x:v>
      </x:c>
      <x:c r="I168" s="32" t="str">
        <x:v>Completado</x:v>
      </x:c>
      <x:c r="J168" s="32" t="str">
        <x:v>Alta</x:v>
      </x:c>
      <x:c r="K168" s="32" t="str">
        <x:v>Diego Ricardo Carhuamaca Vasquez</x:v>
      </x:c>
      <x:c r="L168" s="32" t="str">
        <x:v>Backend</x:v>
      </x:c>
      <x:c r="M168" s="32" t="str">
        <x:v>Bajo</x:v>
      </x:c>
      <x:c r="N168" s="32" t="str">
        <x:v>Alertas agrupadas por estado con conteo y porcentajes</x:v>
      </x:c>
      <x:c r="O168" s="110" t="str">
        <x:v>2026-04-25</x:v>
      </x:c>
      <x:c r="P168" s="110" t="str">
        <x:v>2026-05-10</x:v>
      </x:c>
    </x:row>
    <x:row r="169">
      <x:c r="A169" s="92" t="str">
        <x:v>INT-015 Dashboard y reportes</x:v>
      </x:c>
      <x:c r="B169" s="32" t="str">
        <x:v>INT-015-BOLT-005</x:v>
      </x:c>
      <x:c r="C169" s="32" t="str">
        <x:v>Mostrar alertas cerradas</x:v>
      </x:c>
      <x:c r="D169" s="32" t="str">
        <x:v>Dashboard</x:v>
      </x:c>
      <x:c r="E169" s="32" t="str">
        <x:v>Sí</x:v>
      </x:c>
      <x:c r="F169" s="32" t="str">
        <x:v>backend/app/Http/Controllers/Api/DashboardController.php (alertas_por_estado: cerrada)</x:v>
      </x:c>
      <x:c r="G169" s="32" t="str">
        <x:v>Sí</x:v>
      </x:c>
      <x:c r="H169" s="32" t="str">
        <x:v>backend/tests/Feature/DashboardTest.php</x:v>
      </x:c>
      <x:c r="I169" s="32" t="str">
        <x:v>Completado</x:v>
      </x:c>
      <x:c r="J169" s="32" t="str">
        <x:v>Alta</x:v>
      </x:c>
      <x:c r="K169" s="32" t="str">
        <x:v>Diego Ricardo Carhuamaca Vasquez</x:v>
      </x:c>
      <x:c r="L169" s="32" t="str">
        <x:v>Backend</x:v>
      </x:c>
      <x:c r="M169" s="32" t="str">
        <x:v>Bajo</x:v>
      </x:c>
      <x:c r="N169" s="32" t="str">
        <x:v>Estado cerrada incluido en conteo de alertas</x:v>
      </x:c>
      <x:c r="O169" s="110" t="str">
        <x:v>2026-04-25</x:v>
      </x:c>
      <x:c r="P169" s="110" t="str">
        <x:v>2026-05-10</x:v>
      </x:c>
    </x:row>
    <x:row r="170">
      <x:c r="A170" s="92" t="str">
        <x:v>INT-015 Dashboard y reportes</x:v>
      </x:c>
      <x:c r="B170" s="32" t="str">
        <x:v>INT-015-BOLT-006</x:v>
      </x:c>
      <x:c r="C170" s="32" t="str">
        <x:v>Mostrar estudiantes con datos incompletos</x:v>
      </x:c>
      <x:c r="D170" s="32" t="str">
        <x:v>Dashboard</x:v>
      </x:c>
      <x:c r="E170" s="32" t="str">
        <x:v>No</x:v>
      </x:c>
      <x:c r="F170" s="32" t="str">
        <x:v>Pendiente de adjuntar</x:v>
      </x:c>
      <x:c r="G170" s="32" t="str">
        <x:v>No</x:v>
      </x:c>
      <x:c r="H170" s="32" t="str">
        <x:v>No aplica</x:v>
      </x:c>
      <x:c r="I170" s="32" t="str">
        <x:v>Pendiente</x:v>
      </x:c>
      <x:c r="J170" s="32" t="str">
        <x:v>Media</x:v>
      </x:c>
      <x:c r="K170" s="32" t="str">
        <x:v>Diego Ricardo Carhuamaca Vasquez</x:v>
      </x:c>
      <x:c r="L170" s="32" t="str">
        <x:v>Backend</x:v>
      </x:c>
      <x:c r="M170" s="32" t="str">
        <x:v>Medio</x:v>
      </x:c>
      <x:c r="N170" s="32" t="str">
        <x:v>No se encontró indicador de datos incompletos en el dashboard</x:v>
      </x:c>
      <x:c r="O170" s="110" t="str">
        <x:v>2026-07-15</x:v>
      </x:c>
      <x:c r="P170" s="110" t="str">
        <x:v>Pendiente</x:v>
      </x:c>
    </x:row>
    <x:row r="171">
      <x:c r="A171" s="92" t="str">
        <x:v>INT-015 Dashboard y reportes</x:v>
      </x:c>
      <x:c r="B171" s="32" t="str">
        <x:v>INT-015-BOLT-007</x:v>
      </x:c>
      <x:c r="C171" s="32" t="str">
        <x:v>Mostrar estudiantes con inasistencia frecuente</x:v>
      </x:c>
      <x:c r="D171" s="32" t="str">
        <x:v>Dashboard</x:v>
      </x:c>
      <x:c r="E171" s="32" t="str">
        <x:v>No</x:v>
      </x:c>
      <x:c r="F171" s="32" t="str">
        <x:v>Pendiente de adjuntar</x:v>
      </x:c>
      <x:c r="G171" s="32" t="str">
        <x:v>No</x:v>
      </x:c>
      <x:c r="H171" s="32" t="str">
        <x:v>No aplica</x:v>
      </x:c>
      <x:c r="I171" s="32" t="str">
        <x:v>Pendiente</x:v>
      </x:c>
      <x:c r="J171" s="32" t="str">
        <x:v>Media</x:v>
      </x:c>
      <x:c r="K171" s="32" t="str">
        <x:v>Diego Ricardo Carhuamaca Vasquez</x:v>
      </x:c>
      <x:c r="L171" s="32" t="str">
        <x:v>Backend</x:v>
      </x:c>
      <x:c r="M171" s="32" t="str">
        <x:v>Medio</x:v>
      </x:c>
      <x:c r="N171" s="32" t="str">
        <x:v>No se encontró indicador de inasistencia frecuente en el dashboard</x:v>
      </x:c>
      <x:c r="O171" s="110" t="str">
        <x:v>2026-07-15</x:v>
      </x:c>
      <x:c r="P171" s="110" t="str">
        <x:v>Pendiente</x:v>
      </x:c>
    </x:row>
    <x:row r="172">
      <x:c r="A172" s="92" t="str">
        <x:v>INT-015 Dashboard y reportes</x:v>
      </x:c>
      <x:c r="B172" s="32" t="str">
        <x:v>INT-015-BOLT-008</x:v>
      </x:c>
      <x:c r="C172" s="32" t="str">
        <x:v>Mostrar estudiantes en riesgo por aula</x:v>
      </x:c>
      <x:c r="D172" s="32" t="str">
        <x:v>Dashboard</x:v>
      </x:c>
      <x:c r="E172" s="32" t="str">
        <x:v>No</x:v>
      </x:c>
      <x:c r="F172" s="32" t="str">
        <x:v>Pendiente de adjuntar</x:v>
      </x:c>
      <x:c r="G172" s="32" t="str">
        <x:v>No</x:v>
      </x:c>
      <x:c r="H172" s="32" t="str">
        <x:v>No aplica</x:v>
      </x:c>
      <x:c r="I172" s="32" t="str">
        <x:v>Pendiente</x:v>
      </x:c>
      <x:c r="J172" s="32" t="str">
        <x:v>Media</x:v>
      </x:c>
      <x:c r="K172" s="32" t="str">
        <x:v>Diego Ricardo Carhuamaca Vasquez</x:v>
      </x:c>
      <x:c r="L172" s="32" t="str">
        <x:v>Frontend</x:v>
      </x:c>
      <x:c r="M172" s="32" t="str">
        <x:v>Medio</x:v>
      </x:c>
      <x:c r="N172" s="32" t="str">
        <x:v>Filtros por grado/sección existen; falta vista específica por aula</x:v>
      </x:c>
      <x:c r="O172" s="110" t="str">
        <x:v>2026-07-15</x:v>
      </x:c>
      <x:c r="P172" s="110" t="str">
        <x:v>Pendiente</x:v>
      </x:c>
    </x:row>
    <x:row r="173">
      <x:c r="A173" s="92" t="str">
        <x:v>INT-015 Dashboard y reportes</x:v>
      </x:c>
      <x:c r="B173" s="32" t="str">
        <x:v>INT-015-BOLT-009</x:v>
      </x:c>
      <x:c r="C173" s="32" t="str">
        <x:v>Mostrar reportes por nivel y grado</x:v>
      </x:c>
      <x:c r="D173" s="32" t="str">
        <x:v>Dashboard</x:v>
      </x:c>
      <x:c r="E173" s="32" t="str">
        <x:v>Sí</x:v>
      </x:c>
      <x:c r="F173" s="32" t="str">
        <x:v>backend/app/Http/Controllers/Api/DashboardController.php (filtros nivel, grado), backend/app/Http/Requests/DashboardQueryRequest.php</x:v>
      </x:c>
      <x:c r="G173" s="32" t="str">
        <x:v>Sí</x:v>
      </x:c>
      <x:c r="H173" s="32" t="str">
        <x:v>backend/tests/Feature/DashboardTest.php</x:v>
      </x:c>
      <x:c r="I173" s="32" t="str">
        <x:v>En proceso</x:v>
      </x:c>
      <x:c r="J173" s="32" t="str">
        <x:v>Media</x:v>
      </x:c>
      <x:c r="K173" s="32" t="str">
        <x:v>Diego Ricardo Carhuamaca Vasquez</x:v>
      </x:c>
      <x:c r="L173" s="32" t="str">
        <x:v>Backend</x:v>
      </x:c>
      <x:c r="M173" s="32" t="str">
        <x:v>Bajo</x:v>
      </x:c>
      <x:c r="N173" s="32" t="str">
        <x:v>Filtros por nivel y grado implementados; falta consolidar como reporte</x:v>
      </x:c>
      <x:c r="O173" s="110" t="str">
        <x:v>2026-05-10</x:v>
      </x:c>
      <x:c r="P173" s="110" t="str">
        <x:v>Pendiente</x:v>
      </x:c>
    </x:row>
    <x:row r="174">
      <x:c r="A174" s="92" t="str">
        <x:v>INT-015 Dashboard y reportes</x:v>
      </x:c>
      <x:c r="B174" s="32" t="str">
        <x:v>INT-015-BOLT-010</x:v>
      </x:c>
      <x:c r="C174" s="32" t="str">
        <x:v>Exportar dashboard en PDF</x:v>
      </x:c>
      <x:c r="D174" s="32" t="str">
        <x:v>Reportes</x:v>
      </x:c>
      <x:c r="E174" s="32" t="str">
        <x:v>Sí</x:v>
      </x:c>
      <x:c r="F174" s="32" t="str">
        <x:v>backend/app/Http/Controllers/Api/DashboardController.php (export con DomPDF), backend/resources/views/pdf/</x:v>
      </x:c>
      <x:c r="G174" s="32" t="str">
        <x:v>Sí</x:v>
      </x:c>
      <x:c r="H174" s="32" t="str">
        <x:v>backend/tests/Feature/DashboardTest.php</x:v>
      </x:c>
      <x:c r="I174" s="32" t="str">
        <x:v>Completado</x:v>
      </x:c>
      <x:c r="J174" s="32" t="str">
        <x:v>Alta</x:v>
      </x:c>
      <x:c r="K174" s="32" t="str">
        <x:v>Ernesto Marcial Constantino Chuchon Sotelo</x:v>
      </x:c>
      <x:c r="L174" s="32" t="str">
        <x:v>Reportes</x:v>
      </x:c>
      <x:c r="M174" s="32" t="str">
        <x:v>Bajo</x:v>
      </x:c>
      <x:c r="N174" s="32" t="str">
        <x:v>Exportación PDF via DomPDF con vista Blade en pdf/dashboard</x:v>
      </x:c>
      <x:c r="O174" s="110" t="str">
        <x:v>2026-05-10</x:v>
      </x:c>
      <x:c r="P174" s="110" t="str">
        <x:v>2026-05-15</x:v>
      </x:c>
    </x:row>
    <x:row r="175">
      <x:c r="A175" s="92" t="str">
        <x:v>INT-015 Dashboard y reportes</x:v>
      </x:c>
      <x:c r="B175" s="32" t="str">
        <x:v>INT-015-BOLT-011</x:v>
      </x:c>
      <x:c r="C175" s="32" t="str">
        <x:v>Probar carga del dashboard</x:v>
      </x:c>
      <x:c r="D175" s="32" t="str">
        <x:v>Pruebas</x:v>
      </x:c>
      <x:c r="E175" s="32" t="str">
        <x:v>Sí</x:v>
      </x:c>
      <x:c r="F175" s="32" t="str">
        <x:v>backend/tests/Feature/DashboardTest.php</x:v>
      </x:c>
      <x:c r="G175" s="32" t="str">
        <x:v>Sí</x:v>
      </x:c>
      <x:c r="H175" s="32" t="str">
        <x:v>php artisan test --filter=DashboardTest</x:v>
      </x:c>
      <x:c r="I175" s="32" t="str">
        <x:v>Completado</x:v>
      </x:c>
      <x:c r="J175" s="32" t="str">
        <x:v>Alta</x:v>
      </x:c>
      <x:c r="K175" s="32" t="str">
        <x:v>Equipo SIDERAE</x:v>
      </x:c>
      <x:c r="L175" s="32" t="str">
        <x:v>Pruebas</x:v>
      </x:c>
      <x:c r="M175" s="32" t="str">
        <x:v>Bajo</x:v>
      </x:c>
      <x:c r="N175" s="32" t="str">
        <x:v>Tests de dashboard con 11KB de cobertura</x:v>
      </x:c>
      <x:c r="O175" s="110" t="str">
        <x:v>2026-05-10</x:v>
      </x:c>
      <x:c r="P175" s="110" t="str">
        <x:v>2026-05-15</x:v>
      </x:c>
    </x:row>
    <x:row r="176">
      <x:c r="A176" s="92" t="str">
        <x:v>INT-015 Dashboard y reportes</x:v>
      </x:c>
      <x:c r="B176" s="32" t="str">
        <x:v>INT-015-BOLT-012</x:v>
      </x:c>
      <x:c r="C176" s="32" t="str">
        <x:v>Probar exportación PDF</x:v>
      </x:c>
      <x:c r="D176" s="32" t="str">
        <x:v>Pruebas</x:v>
      </x:c>
      <x:c r="E176" s="32" t="str">
        <x:v>Sí</x:v>
      </x:c>
      <x:c r="F176" s="32" t="str">
        <x:v>backend/tests/Feature/DashboardTest.php</x:v>
      </x:c>
      <x:c r="G176" s="32" t="str">
        <x:v>Sí</x:v>
      </x:c>
      <x:c r="H176" s="32" t="str">
        <x:v>php artisan test --filter=DashboardTest</x:v>
      </x:c>
      <x:c r="I176" s="32" t="str">
        <x:v>Completado</x:v>
      </x:c>
      <x:c r="J176" s="32" t="str">
        <x:v>Alta</x:v>
      </x:c>
      <x:c r="K176" s="32" t="str">
        <x:v>Equipo SIDERAE</x:v>
      </x:c>
      <x:c r="L176" s="32" t="str">
        <x:v>Pruebas</x:v>
      </x:c>
      <x:c r="M176" s="32" t="str">
        <x:v>Bajo</x:v>
      </x:c>
      <x:c r="N176" s="32" t="str">
        <x:v>Test de exportación PDF incluido en DashboardTest</x:v>
      </x:c>
      <x:c r="O176" s="110" t="str">
        <x:v>2026-05-10</x:v>
      </x:c>
      <x:c r="P176" s="110" t="str">
        <x:v>2026-05-15</x:v>
      </x:c>
    </x:row>
    <x:row r="177">
      <x:c r="A177" s="92" t="str">
        <x:v>INT-015 Dashboard y reportes</x:v>
      </x:c>
      <x:c r="B177" s="32" t="str">
        <x:v>INT-015-BOLT-013</x:v>
      </x:c>
      <x:c r="C177" s="32" t="str">
        <x:v>Implementar panel de dashboard en frontend</x:v>
      </x:c>
      <x:c r="D177" s="32" t="str">
        <x:v>Frontend</x:v>
      </x:c>
      <x:c r="E177" s="32" t="str">
        <x:v>Sí</x:v>
      </x:c>
      <x:c r="F177" s="32" t="str">
        <x:v>frontend/src/components/DashboardPanel.jsx (20KB)</x:v>
      </x:c>
      <x:c r="G177" s="32" t="str">
        <x:v>No</x:v>
      </x:c>
      <x:c r="H177" s="32" t="str">
        <x:v>Pendiente de adjuntar</x:v>
      </x:c>
      <x:c r="I177" s="32" t="str">
        <x:v>Observado</x:v>
      </x:c>
      <x:c r="J177" s="32" t="str">
        <x:v>Alta</x:v>
      </x:c>
      <x:c r="K177" s="32" t="str">
        <x:v>Diego Ricardo Carhuamaca Vasquez</x:v>
      </x:c>
      <x:c r="L177" s="32" t="str">
        <x:v>Frontend</x:v>
      </x:c>
      <x:c r="M177" s="32" t="str">
        <x:v>Bajo</x:v>
      </x:c>
      <x:c r="N177" s="32" t="str">
        <x:v>Panel de dashboard completo con indicadores, gráficos y filtros. Bolt adicional detectado. Corrección QA: Está completado, pero no tiene evidencia de pruebas ejecutadas.</x:v>
      </x:c>
      <x:c r="O177" s="110" t="str">
        <x:v>2026-05-10</x:v>
      </x:c>
      <x:c r="P177" s="110" t="str">
        <x:v>2026-05-15</x:v>
      </x:c>
    </x:row>
    <x:row r="178">
      <x:c r="A178" s="92" t="str">
        <x:v>INT-015 Dashboard y reportes</x:v>
      </x:c>
      <x:c r="B178" s="32" t="str">
        <x:v>INT-015-BOLT-014</x:v>
      </x:c>
      <x:c r="C178" s="32" t="str">
        <x:v>Calcular indicadores curriculares del dashboard</x:v>
      </x:c>
      <x:c r="D178" s="32" t="str">
        <x:v>Dashboard</x:v>
      </x:c>
      <x:c r="E178" s="32" t="str">
        <x:v>Sí</x:v>
      </x:c>
      <x:c r="F178" s="32" t="str">
        <x:v>backend/app/Services/Curricular/DashboardCurricularIndicadoresService.php</x:v>
      </x:c>
      <x:c r="G178" s="32" t="str">
        <x:v>Sí</x:v>
      </x:c>
      <x:c r="H178" s="32" t="str">
        <x:v>backend/tests/Feature/DashboardTest.php</x:v>
      </x:c>
      <x:c r="I178" s="32" t="str">
        <x:v>Completado</x:v>
      </x:c>
      <x:c r="J178" s="32" t="str">
        <x:v>Media</x:v>
      </x:c>
      <x:c r="K178" s="32" t="str">
        <x:v>Ernesto Marcial Constantino Chuchon Sotelo</x:v>
      </x:c>
      <x:c r="L178" s="32" t="str">
        <x:v>Backend</x:v>
      </x:c>
      <x:c r="M178" s="32" t="str">
        <x:v>Bajo</x:v>
      </x:c>
      <x:c r="N178" s="32" t="str">
        <x:v>Indicadores: total_estudiantes_activos, registros_asistencia_diaria, resultados_bimestrales, cursos_malla_activos, asignaciones_docente_activas. Bolt adicional detectado.</x:v>
      </x:c>
      <x:c r="O178" s="110" t="str">
        <x:v>2026-05-30</x:v>
      </x:c>
      <x:c r="P178" s="110" t="str">
        <x:v>2026-05-30</x:v>
      </x:c>
    </x:row>
    <x:row r="179">
      <x:c r="A179" s="96" t="str">
        <x:v>INT-016 Auditoría y trazabilidad</x:v>
      </x:c>
      <x:c r="B179" s="32" t="str">
        <x:v>INT-016-BOLT-001</x:v>
      </x:c>
      <x:c r="C179" s="32" t="str">
        <x:v>Configurar Spatie Activitylog</x:v>
      </x:c>
      <x:c r="D179" s="32" t="str">
        <x:v>Auditoría</x:v>
      </x:c>
      <x:c r="E179" s="32" t="str">
        <x:v>Sí</x:v>
      </x:c>
      <x:c r="F179" s="32" t="str">
        <x:v>backend/composer.json (spatie/laravel-activitylog ^4.9), backend/database/migrations/2026_04_23_023847_create_activity_log_table.php, backend/database/migrations/2026_04_23_023848_add_event_column.php, backend/database/migrations/2026_04_23_023849_add_batch_uuid_column.php</x:v>
      </x:c>
      <x:c r="G179" s="32" t="str">
        <x:v>Sí</x:v>
      </x:c>
      <x:c r="H179" s="32" t="str">
        <x:v>backend/tests/Feature/ActivityLogTest.php</x:v>
      </x:c>
      <x:c r="I179" s="32" t="str">
        <x:v>Completado</x:v>
      </x:c>
      <x:c r="J179" s="32" t="str">
        <x:v>Alta</x:v>
      </x:c>
      <x:c r="K179" s="32" t="str">
        <x:v>Ernesto Marcial Constantino Chuchon Sotelo</x:v>
      </x:c>
      <x:c r="L179" s="32" t="str">
        <x:v>Backend</x:v>
      </x:c>
      <x:c r="M179" s="32" t="str">
        <x:v>Bajo</x:v>
      </x:c>
      <x:c r="N179" s="32" t="str">
        <x:v>Spatie Activitylog v4.9 instalado con 3 migraciones</x:v>
      </x:c>
      <x:c r="O179" s="110" t="str">
        <x:v>2026-04-23</x:v>
      </x:c>
      <x:c r="P179" s="110" t="str">
        <x:v>2026-04-23</x:v>
      </x:c>
    </x:row>
    <x:row r="180">
      <x:c r="A180" s="96" t="str">
        <x:v>INT-016 Auditoría y trazabilidad</x:v>
      </x:c>
      <x:c r="B180" s="32" t="str">
        <x:v>INT-016-BOLT-002</x:v>
      </x:c>
      <x:c r="C180" s="32" t="str">
        <x:v>Auditar creación de estudiante</x:v>
      </x:c>
      <x:c r="D180" s="32" t="str">
        <x:v>Auditoría</x:v>
      </x:c>
      <x:c r="E180" s="32" t="str">
        <x:v>Sí</x:v>
      </x:c>
      <x:c r="F180" s="32" t="str">
        <x:v>backend/tests/Feature/ActivityLogTest.php (verifica log de creación)</x:v>
      </x:c>
      <x:c r="G180" s="32" t="str">
        <x:v>Sí</x:v>
      </x:c>
      <x:c r="H180" s="32" t="str">
        <x:v>backend/tests/Feature/ActivityLogTest.php</x:v>
      </x:c>
      <x:c r="I180" s="32" t="str">
        <x:v>Completado</x:v>
      </x:c>
      <x:c r="J180" s="32" t="str">
        <x:v>Alta</x:v>
      </x:c>
      <x:c r="K180" s="32" t="str">
        <x:v>Ernesto Marcial Constantino Chuchon Sotelo</x:v>
      </x:c>
      <x:c r="L180" s="32" t="str">
        <x:v>Backend</x:v>
      </x:c>
      <x:c r="M180" s="32" t="str">
        <x:v>Bajo</x:v>
      </x:c>
      <x:c r="N180" s="32" t="str">
        <x:v>Activity log registra creación de estudiante</x:v>
      </x:c>
      <x:c r="O180" s="110" t="str">
        <x:v>2026-04-25</x:v>
      </x:c>
      <x:c r="P180" s="110" t="str">
        <x:v>2026-05-05</x:v>
      </x:c>
    </x:row>
    <x:row r="181">
      <x:c r="A181" s="96" t="str">
        <x:v>INT-016 Auditoría y trazabilidad</x:v>
      </x:c>
      <x:c r="B181" s="32" t="str">
        <x:v>INT-016-BOLT-003</x:v>
      </x:c>
      <x:c r="C181" s="32" t="str">
        <x:v>Auditar registro de notas</x:v>
      </x:c>
      <x:c r="D181" s="32" t="str">
        <x:v>Auditoría</x:v>
      </x:c>
      <x:c r="E181" s="32" t="str">
        <x:v>Sí</x:v>
      </x:c>
      <x:c r="F181" s="32" t="str">
        <x:v>backend/tests/Feature/ActivityLogTest.php</x:v>
      </x:c>
      <x:c r="G181" s="32" t="str">
        <x:v>Sí</x:v>
      </x:c>
      <x:c r="H181" s="32" t="str">
        <x:v>backend/tests/Feature/ActivityLogTest.php</x:v>
      </x:c>
      <x:c r="I181" s="32" t="str">
        <x:v>Completado</x:v>
      </x:c>
      <x:c r="J181" s="32" t="str">
        <x:v>Alta</x:v>
      </x:c>
      <x:c r="K181" s="32" t="str">
        <x:v>Ernesto Marcial Constantino Chuchon Sotelo</x:v>
      </x:c>
      <x:c r="L181" s="32" t="str">
        <x:v>Backend</x:v>
      </x:c>
      <x:c r="M181" s="32" t="str">
        <x:v>Bajo</x:v>
      </x:c>
      <x:c r="N181" s="32" t="str">
        <x:v>Activity log registra creación de notas</x:v>
      </x:c>
      <x:c r="O181" s="110" t="str">
        <x:v>2026-04-25</x:v>
      </x:c>
      <x:c r="P181" s="110" t="str">
        <x:v>2026-05-05</x:v>
      </x:c>
    </x:row>
    <x:row r="182">
      <x:c r="A182" s="96" t="str">
        <x:v>INT-016 Auditoría y trazabilidad</x:v>
      </x:c>
      <x:c r="B182" s="32" t="str">
        <x:v>INT-016-BOLT-004</x:v>
      </x:c>
      <x:c r="C182" s="32" t="str">
        <x:v>Auditar modificación de notas</x:v>
      </x:c>
      <x:c r="D182" s="32" t="str">
        <x:v>Auditoría</x:v>
      </x:c>
      <x:c r="E182" s="32" t="str">
        <x:v>No</x:v>
      </x:c>
      <x:c r="F182" s="32" t="str">
        <x:v>Pendiente de adjuntar</x:v>
      </x:c>
      <x:c r="G182" s="32" t="str">
        <x:v>No</x:v>
      </x:c>
      <x:c r="H182" s="32" t="str">
        <x:v>No aplica</x:v>
      </x:c>
      <x:c r="I182" s="32" t="str">
        <x:v>Pendiente</x:v>
      </x:c>
      <x:c r="J182" s="32" t="str">
        <x:v>Media</x:v>
      </x:c>
      <x:c r="K182" s="32" t="str">
        <x:v>Ernesto Marcial Constantino Chuchon Sotelo</x:v>
      </x:c>
      <x:c r="L182" s="32" t="str">
        <x:v>Backend</x:v>
      </x:c>
      <x:c r="M182" s="32" t="str">
        <x:v>Medio</x:v>
      </x:c>
      <x:c r="N182" s="32" t="str">
        <x:v>Falta auditar modificaciones (updates) de notas explícitamente</x:v>
      </x:c>
      <x:c r="O182" s="110" t="str">
        <x:v>2026-07-15</x:v>
      </x:c>
      <x:c r="P182" s="110" t="str">
        <x:v>Pendiente</x:v>
      </x:c>
    </x:row>
    <x:row r="183">
      <x:c r="A183" s="96" t="str">
        <x:v>INT-016 Auditoría y trazabilidad</x:v>
      </x:c>
      <x:c r="B183" s="32" t="str">
        <x:v>INT-016-BOLT-005</x:v>
      </x:c>
      <x:c r="C183" s="32" t="str">
        <x:v>Auditar procesamiento de riesgo</x:v>
      </x:c>
      <x:c r="D183" s="32" t="str">
        <x:v>Auditoría</x:v>
      </x:c>
      <x:c r="E183" s="32" t="str">
        <x:v>Sí</x:v>
      </x:c>
      <x:c r="F183" s="32" t="str">
        <x:v>backend/app/Http/Controllers/Api/ProcesarRiesgoController.php, backend/tests/Feature/ActivityLogTest.php</x:v>
      </x:c>
      <x:c r="G183" s="32" t="str">
        <x:v>Sí</x:v>
      </x:c>
      <x:c r="H183" s="32" t="str">
        <x:v>backend/tests/Feature/ActivityLogTest.php</x:v>
      </x:c>
      <x:c r="I183" s="32" t="str">
        <x:v>Completado</x:v>
      </x:c>
      <x:c r="J183" s="32" t="str">
        <x:v>Alta</x:v>
      </x:c>
      <x:c r="K183" s="32" t="str">
        <x:v>Ernesto Marcial Constantino Chuchon Sotelo</x:v>
      </x:c>
      <x:c r="L183" s="32" t="str">
        <x:v>Backend</x:v>
      </x:c>
      <x:c r="M183" s="32" t="str">
        <x:v>Bajo</x:v>
      </x:c>
      <x:c r="N183" s="32" t="str">
        <x:v>Procesamiento de riesgo auditado y verificado en tests</x:v>
      </x:c>
      <x:c r="O183" s="110" t="str">
        <x:v>2026-05-05</x:v>
      </x:c>
      <x:c r="P183" s="110" t="str">
        <x:v>2026-05-10</x:v>
      </x:c>
    </x:row>
    <x:row r="184">
      <x:c r="A184" s="96" t="str">
        <x:v>INT-016 Auditoría y trazabilidad</x:v>
      </x:c>
      <x:c r="B184" s="32" t="str">
        <x:v>INT-016-BOLT-006</x:v>
      </x:c>
      <x:c r="C184" s="32" t="str">
        <x:v>Auditar generación de alerta</x:v>
      </x:c>
      <x:c r="D184" s="32" t="str">
        <x:v>Auditoría</x:v>
      </x:c>
      <x:c r="E184" s="32" t="str">
        <x:v>Sí</x:v>
      </x:c>
      <x:c r="F184" s="32" t="str">
        <x:v>backend/tests/Feature/ActivityLogTest.php</x:v>
      </x:c>
      <x:c r="G184" s="32" t="str">
        <x:v>Sí</x:v>
      </x:c>
      <x:c r="H184" s="32" t="str">
        <x:v>backend/tests/Feature/ActivityLogTest.php</x:v>
      </x:c>
      <x:c r="I184" s="32" t="str">
        <x:v>En proceso</x:v>
      </x:c>
      <x:c r="J184" s="32" t="str">
        <x:v>Media</x:v>
      </x:c>
      <x:c r="K184" s="32" t="str">
        <x:v>Ernesto Marcial Constantino Chuchon Sotelo</x:v>
      </x:c>
      <x:c r="L184" s="32" t="str">
        <x:v>Backend</x:v>
      </x:c>
      <x:c r="M184" s="32" t="str">
        <x:v>Bajo</x:v>
      </x:c>
      <x:c r="N184" s="32" t="str">
        <x:v>Generación de alerta parcialmente auditada; verificar cobertura completa</x:v>
      </x:c>
      <x:c r="O184" s="110" t="str">
        <x:v>2026-05-05</x:v>
      </x:c>
      <x:c r="P184" s="110" t="str">
        <x:v>Pendiente</x:v>
      </x:c>
    </x:row>
    <x:row r="185">
      <x:c r="A185" s="96" t="str">
        <x:v>INT-016 Auditoría y trazabilidad</x:v>
      </x:c>
      <x:c r="B185" s="32" t="str">
        <x:v>INT-016-BOLT-007</x:v>
      </x:c>
      <x:c r="C185" s="32" t="str">
        <x:v>Auditar registro de intervención</x:v>
      </x:c>
      <x:c r="D185" s="32" t="str">
        <x:v>Auditoría</x:v>
      </x:c>
      <x:c r="E185" s="32" t="str">
        <x:v>Sí</x:v>
      </x:c>
      <x:c r="F185" s="32" t="str">
        <x:v>backend/tests/Feature/ActivityLogTest.php</x:v>
      </x:c>
      <x:c r="G185" s="32" t="str">
        <x:v>Sí</x:v>
      </x:c>
      <x:c r="H185" s="32" t="str">
        <x:v>backend/tests/Feature/ActivityLogTest.php</x:v>
      </x:c>
      <x:c r="I185" s="32" t="str">
        <x:v>En proceso</x:v>
      </x:c>
      <x:c r="J185" s="32" t="str">
        <x:v>Media</x:v>
      </x:c>
      <x:c r="K185" s="32" t="str">
        <x:v>Ernesto Marcial Constantino Chuchon Sotelo</x:v>
      </x:c>
      <x:c r="L185" s="32" t="str">
        <x:v>Backend</x:v>
      </x:c>
      <x:c r="M185" s="32" t="str">
        <x:v>Bajo</x:v>
      </x:c>
      <x:c r="N185" s="32" t="str">
        <x:v>Registro de intervención auditado parcialmente</x:v>
      </x:c>
      <x:c r="O185" s="110" t="str">
        <x:v>2026-05-05</x:v>
      </x:c>
      <x:c r="P185" s="110" t="str">
        <x:v>Pendiente</x:v>
      </x:c>
    </x:row>
    <x:row r="186">
      <x:c r="A186" s="96" t="str">
        <x:v>INT-016 Auditoría y trazabilidad</x:v>
      </x:c>
      <x:c r="B186" s="32" t="str">
        <x:v>INT-016-BOLT-008</x:v>
      </x:c>
      <x:c r="C186" s="32" t="str">
        <x:v>Auditar cierre de alerta</x:v>
      </x:c>
      <x:c r="D186" s="32" t="str">
        <x:v>Auditoría</x:v>
      </x:c>
      <x:c r="E186" s="32" t="str">
        <x:v>Sí</x:v>
      </x:c>
      <x:c r="F186" s="32" t="str">
        <x:v>backend/tests/Feature/ActivityLogTest.php</x:v>
      </x:c>
      <x:c r="G186" s="32" t="str">
        <x:v>Sí</x:v>
      </x:c>
      <x:c r="H186" s="32" t="str">
        <x:v>backend/tests/Feature/ActivityLogTest.php</x:v>
      </x:c>
      <x:c r="I186" s="32" t="str">
        <x:v>En proceso</x:v>
      </x:c>
      <x:c r="J186" s="32" t="str">
        <x:v>Media</x:v>
      </x:c>
      <x:c r="K186" s="32" t="str">
        <x:v>Ernesto Marcial Constantino Chuchon Sotelo</x:v>
      </x:c>
      <x:c r="L186" s="32" t="str">
        <x:v>Backend</x:v>
      </x:c>
      <x:c r="M186" s="32" t="str">
        <x:v>Bajo</x:v>
      </x:c>
      <x:c r="N186" s="32" t="str">
        <x:v>Cierre de alerta auditado parcialmente; verificar que se registre resultado y responsable</x:v>
      </x:c>
      <x:c r="O186" s="110" t="str">
        <x:v>2026-05-05</x:v>
      </x:c>
      <x:c r="P186" s="110" t="str">
        <x:v>Pendiente</x:v>
      </x:c>
    </x:row>
    <x:row r="187">
      <x:c r="A187" s="96" t="str">
        <x:v>INT-016 Auditoría y trazabilidad</x:v>
      </x:c>
      <x:c r="B187" s="32" t="str">
        <x:v>INT-016-BOLT-009</x:v>
      </x:c>
      <x:c r="C187" s="32" t="str">
        <x:v>Crear vista o reporte de auditoría</x:v>
      </x:c>
      <x:c r="D187" s="32" t="str">
        <x:v>Auditoría</x:v>
      </x:c>
      <x:c r="E187" s="32" t="str">
        <x:v>No</x:v>
      </x:c>
      <x:c r="F187" s="32" t="str">
        <x:v>No se encontró evidencia en el repositorio</x:v>
      </x:c>
      <x:c r="G187" s="32" t="str">
        <x:v>No</x:v>
      </x:c>
      <x:c r="H187" s="32" t="str">
        <x:v>No aplica</x:v>
      </x:c>
      <x:c r="I187" s="32" t="str">
        <x:v>Pendiente</x:v>
      </x:c>
      <x:c r="J187" s="32" t="str">
        <x:v>Media</x:v>
      </x:c>
      <x:c r="K187" s="32" t="str">
        <x:v>Diego Ricardo Carhuamaca Vasquez</x:v>
      </x:c>
      <x:c r="L187" s="32" t="str">
        <x:v>Frontend</x:v>
      </x:c>
      <x:c r="M187" s="32" t="str">
        <x:v>Medio</x:v>
      </x:c>
      <x:c r="N187" s="32" t="str">
        <x:v>No existe componente frontend ni endpoint para consultar logs de auditoría</x:v>
      </x:c>
      <x:c r="O187" s="110" t="str">
        <x:v>2026-07-15</x:v>
      </x:c>
      <x:c r="P187" s="110" t="str">
        <x:v>Pendiente</x:v>
      </x:c>
    </x:row>
    <x:row r="188">
      <x:c r="A188" s="96" t="str">
        <x:v>INT-016 Auditoría y trazabilidad</x:v>
      </x:c>
      <x:c r="B188" s="32" t="str">
        <x:v>INT-016-BOLT-010</x:v>
      </x:c>
      <x:c r="C188" s="32" t="str">
        <x:v>Probar trazabilidad completa</x:v>
      </x:c>
      <x:c r="D188" s="32" t="str">
        <x:v>Pruebas</x:v>
      </x:c>
      <x:c r="E188" s="32" t="str">
        <x:v>Sí</x:v>
      </x:c>
      <x:c r="F188" s="32" t="str">
        <x:v>backend/tests/Feature/ActivityLogTest.php (11KB)</x:v>
      </x:c>
      <x:c r="G188" s="32" t="str">
        <x:v>Sí</x:v>
      </x:c>
      <x:c r="H188" s="32" t="str">
        <x:v>php artisan test --filter=ActivityLogTest</x:v>
      </x:c>
      <x:c r="I188" s="32" t="str">
        <x:v>Completado</x:v>
      </x:c>
      <x:c r="J188" s="32" t="str">
        <x:v>Alta</x:v>
      </x:c>
      <x:c r="K188" s="32" t="str">
        <x:v>Equipo SIDERAE</x:v>
      </x:c>
      <x:c r="L188" s="32" t="str">
        <x:v>Pruebas</x:v>
      </x:c>
      <x:c r="M188" s="32" t="str">
        <x:v>Bajo</x:v>
      </x:c>
      <x:c r="N188" s="32" t="str">
        <x:v>Tests de auditoría con 11KB de cobertura</x:v>
      </x:c>
      <x:c r="O188" s="110" t="str">
        <x:v>2026-05-05</x:v>
      </x:c>
      <x:c r="P188" s="110" t="str">
        <x:v>2026-05-10</x:v>
      </x:c>
    </x:row>
    <x:row r="189">
      <x:c r="A189" s="76" t="str">
        <x:v>INT-017 Seguridad y calidad</x:v>
      </x:c>
      <x:c r="B189" s="32" t="str">
        <x:v>INT-017-BOLT-001</x:v>
      </x:c>
      <x:c r="C189" s="32" t="str">
        <x:v>Validar protección CSRF</x:v>
      </x:c>
      <x:c r="D189" s="32" t="str">
        <x:v>Seguridad</x:v>
      </x:c>
      <x:c r="E189" s="32" t="str">
        <x:v>Sí</x:v>
      </x:c>
      <x:c r="F189" s="32" t="str">
        <x:v>backend/config/cors.php, backend/routes/api.php (middleware sanctum)</x:v>
      </x:c>
      <x:c r="G189" s="32" t="str">
        <x:v>No</x:v>
      </x:c>
      <x:c r="H189" s="32" t="str">
        <x:v>Pendiente de adjuntar</x:v>
      </x:c>
      <x:c r="I189" s="32" t="str">
        <x:v>En proceso</x:v>
      </x:c>
      <x:c r="J189" s="32" t="str">
        <x:v>Alta</x:v>
      </x:c>
      <x:c r="K189" s="32" t="str">
        <x:v>Ernesto Marcial Constantino Chuchon Sotelo</x:v>
      </x:c>
      <x:c r="L189" s="32" t="str">
        <x:v>Seguridad</x:v>
      </x:c>
      <x:c r="M189" s="32" t="str">
        <x:v>Medio</x:v>
      </x:c>
      <x:c r="N189" s="32" t="str">
        <x:v>API usa Sanctum tokens (no CSRF cookies); CORS configurado</x:v>
      </x:c>
      <x:c r="O189" s="110" t="str">
        <x:v>2026-05-15</x:v>
      </x:c>
      <x:c r="P189" s="110" t="str">
        <x:v>Pendiente</x:v>
      </x:c>
    </x:row>
    <x:row r="190">
      <x:c r="A190" s="76" t="str">
        <x:v>INT-017 Seguridad y calidad</x:v>
      </x:c>
      <x:c r="B190" s="32" t="str">
        <x:v>INT-017-BOLT-002</x:v>
      </x:c>
      <x:c r="C190" s="32" t="str">
        <x:v>Validar control de acceso por rol</x:v>
      </x:c>
      <x:c r="D190" s="32" t="str">
        <x:v>Seguridad</x:v>
      </x:c>
      <x:c r="E190" s="32" t="str">
        <x:v>Sí</x:v>
      </x:c>
      <x:c r="F190" s="32" t="str">
        <x:v>backend/database/seeders/PermissionsSeeder.php, backend/routes/api.php (middleware permission:), docs/seguridad-roles-permisos.md, docs/arquitectura/matriz-control-accesos-sprint8.md</x:v>
      </x:c>
      <x:c r="G190" s="32" t="str">
        <x:v>Sí</x:v>
      </x:c>
      <x:c r="H190" s="32" t="str">
        <x:v>backend/tests/Feature/GestionUsuariosTest.php</x:v>
      </x:c>
      <x:c r="I190" s="32" t="str">
        <x:v>Completado</x:v>
      </x:c>
      <x:c r="J190" s="32" t="str">
        <x:v>Alta</x:v>
      </x:c>
      <x:c r="K190" s="32" t="str">
        <x:v>Ernesto Marcial Constantino Chuchon Sotelo</x:v>
      </x:c>
      <x:c r="L190" s="32" t="str">
        <x:v>Seguridad</x:v>
      </x:c>
      <x:c r="M190" s="32" t="str">
        <x:v>Bajo</x:v>
      </x:c>
      <x:c r="N190" s="32" t="str">
        <x:v>Control de acceso por rol implementado con Spatie Permission y documentado</x:v>
      </x:c>
      <x:c r="O190" s="110" t="str">
        <x:v>2026-04-23</x:v>
      </x:c>
      <x:c r="P190" s="110" t="str">
        <x:v>2026-05-15</x:v>
      </x:c>
    </x:row>
    <x:row r="191">
      <x:c r="A191" s="76" t="str">
        <x:v>INT-017 Seguridad y calidad</x:v>
      </x:c>
      <x:c r="B191" s="32" t="str">
        <x:v>INT-017-BOLT-003</x:v>
      </x:c>
      <x:c r="C191" s="32" t="str">
        <x:v>Validar bloqueo de rutas no autorizadas</x:v>
      </x:c>
      <x:c r="D191" s="32" t="str">
        <x:v>Seguridad</x:v>
      </x:c>
      <x:c r="E191" s="32" t="str">
        <x:v>Sí</x:v>
      </x:c>
      <x:c r="F191" s="32" t="str">
        <x:v>backend/routes/api.php (todas las rutas con auth:sanctum + permission)</x:v>
      </x:c>
      <x:c r="G191" s="32" t="str">
        <x:v>Sí</x:v>
      </x:c>
      <x:c r="H191" s="32" t="str">
        <x:v>backend/tests/Feature/GestionUsuariosTest.php, backend/tests/Feature/Curricular/CurricularApiTest.php</x:v>
      </x:c>
      <x:c r="I191" s="32" t="str">
        <x:v>Completado</x:v>
      </x:c>
      <x:c r="J191" s="32" t="str">
        <x:v>Alta</x:v>
      </x:c>
      <x:c r="K191" s="32" t="str">
        <x:v>Ernesto Marcial Constantino Chuchon Sotelo</x:v>
      </x:c>
      <x:c r="L191" s="32" t="str">
        <x:v>Seguridad</x:v>
      </x:c>
      <x:c r="M191" s="32" t="str">
        <x:v>Bajo</x:v>
      </x:c>
      <x:c r="N191" s="32" t="str">
        <x:v>Rutas API protegidas; tests verifican rechazo 403 sin permisos</x:v>
      </x:c>
      <x:c r="O191" s="110" t="str">
        <x:v>2026-04-23</x:v>
      </x:c>
      <x:c r="P191" s="110" t="str">
        <x:v>2026-05-15</x:v>
      </x:c>
    </x:row>
    <x:row r="192">
      <x:c r="A192" s="76" t="str">
        <x:v>INT-017 Seguridad y calidad</x:v>
      </x:c>
      <x:c r="B192" s="32" t="str">
        <x:v>INT-017-BOLT-004</x:v>
      </x:c>
      <x:c r="C192" s="32" t="str">
        <x:v>Revisar protección contra inyección SQL usando Eloquent</x:v>
      </x:c>
      <x:c r="D192" s="32" t="str">
        <x:v>Seguridad</x:v>
      </x:c>
      <x:c r="E192" s="32" t="str">
        <x:v>Sí</x:v>
      </x:c>
      <x:c r="F192" s="32" t="str">
        <x:v>Uso de Eloquent ORM en todos los modelos y controladores</x:v>
      </x:c>
      <x:c r="G192" s="32" t="str">
        <x:v>No</x:v>
      </x:c>
      <x:c r="H192" s="32" t="str">
        <x:v>Pendiente de adjuntar</x:v>
      </x:c>
      <x:c r="I192" s="32" t="str">
        <x:v>En proceso</x:v>
      </x:c>
      <x:c r="J192" s="32" t="str">
        <x:v>Alta</x:v>
      </x:c>
      <x:c r="K192" s="32" t="str">
        <x:v>Ernesto Marcial Constantino Chuchon Sotelo</x:v>
      </x:c>
      <x:c r="L192" s="32" t="str">
        <x:v>Seguridad</x:v>
      </x:c>
      <x:c r="M192" s="32" t="str">
        <x:v>Bajo</x:v>
      </x:c>
      <x:c r="N192" s="32" t="str">
        <x:v>Eloquent protege contra inyección SQL por defecto; falta revisión formal</x:v>
      </x:c>
      <x:c r="O192" s="110" t="str">
        <x:v>2026-06-01</x:v>
      </x:c>
      <x:c r="P192" s="110" t="str">
        <x:v>Pendiente</x:v>
      </x:c>
    </x:row>
    <x:row r="193">
      <x:c r="A193" s="76" t="str">
        <x:v>INT-017 Seguridad y calidad</x:v>
      </x:c>
      <x:c r="B193" s="32" t="str">
        <x:v>INT-017-BOLT-005</x:v>
      </x:c>
      <x:c r="C193" s="32" t="str">
        <x:v>Revisar protección contra XSS</x:v>
      </x:c>
      <x:c r="D193" s="32" t="str">
        <x:v>Seguridad</x:v>
      </x:c>
      <x:c r="E193" s="32" t="str">
        <x:v>Sí</x:v>
      </x:c>
      <x:c r="F193" s="32" t="str">
        <x:v>Frontend React escapa HTML por defecto; DomPDF con vista Blade</x:v>
      </x:c>
      <x:c r="G193" s="32" t="str">
        <x:v>No</x:v>
      </x:c>
      <x:c r="H193" s="32" t="str">
        <x:v>Pendiente de adjuntar</x:v>
      </x:c>
      <x:c r="I193" s="32" t="str">
        <x:v>En proceso</x:v>
      </x:c>
      <x:c r="J193" s="32" t="str">
        <x:v>Alta</x:v>
      </x:c>
      <x:c r="K193" s="32" t="str">
        <x:v>Ernesto Marcial Constantino Chuchon Sotelo</x:v>
      </x:c>
      <x:c r="L193" s="32" t="str">
        <x:v>Seguridad</x:v>
      </x:c>
      <x:c r="M193" s="32" t="str">
        <x:v>Medio</x:v>
      </x:c>
      <x:c r="N193" s="32" t="str">
        <x:v>React previene XSS por defecto; falta revisión de inputs en backend</x:v>
      </x:c>
      <x:c r="O193" s="110" t="str">
        <x:v>2026-06-01</x:v>
      </x:c>
      <x:c r="P193" s="110" t="str">
        <x:v>Pendiente</x:v>
      </x:c>
    </x:row>
    <x:row r="194">
      <x:c r="A194" s="76" t="str">
        <x:v>INT-017 Seguridad y calidad</x:v>
      </x:c>
      <x:c r="B194" s="32" t="str">
        <x:v>INT-017-BOLT-006</x:v>
      </x:c>
      <x:c r="C194" s="32" t="str">
        <x:v>Configurar throttle de login</x:v>
      </x:c>
      <x:c r="D194" s="32" t="str">
        <x:v>Seguridad</x:v>
      </x:c>
      <x:c r="E194" s="32" t="str">
        <x:v>Sí</x:v>
      </x:c>
      <x:c r="F194" s="32" t="str">
        <x:v>backend/routes/auth.php (posible throttle via Laravel Breeze)</x:v>
      </x:c>
      <x:c r="G194" s="32" t="str">
        <x:v>No</x:v>
      </x:c>
      <x:c r="H194" s="32" t="str">
        <x:v>Pendiente de adjuntar</x:v>
      </x:c>
      <x:c r="I194" s="32" t="str">
        <x:v>En proceso</x:v>
      </x:c>
      <x:c r="J194" s="32" t="str">
        <x:v>Media</x:v>
      </x:c>
      <x:c r="K194" s="32" t="str">
        <x:v>Ernesto Marcial Constantino Chuchon Sotelo</x:v>
      </x:c>
      <x:c r="L194" s="32" t="str">
        <x:v>Seguridad</x:v>
      </x:c>
      <x:c r="M194" s="32" t="str">
        <x:v>Medio</x:v>
      </x:c>
      <x:c r="N194" s="32" t="str">
        <x:v>Laravel Breeze incluye throttle por defecto; falta verificar configuración específica</x:v>
      </x:c>
      <x:c r="O194" s="110" t="str">
        <x:v>2026-06-01</x:v>
      </x:c>
      <x:c r="P194" s="110" t="str">
        <x:v>Pendiente</x:v>
      </x:c>
    </x:row>
    <x:row r="195">
      <x:c r="A195" s="76" t="str">
        <x:v>INT-017 Seguridad y calidad</x:v>
      </x:c>
      <x:c r="B195" s="32" t="str">
        <x:v>INT-017-BOLT-007</x:v>
      </x:c>
      <x:c r="C195" s="32" t="str">
        <x:v>Revisar que no existan credenciales hardcodeadas</x:v>
      </x:c>
      <x:c r="D195" s="32" t="str">
        <x:v>Seguridad</x:v>
      </x:c>
      <x:c r="E195" s="32" t="str">
        <x:v>Sí</x:v>
      </x:c>
      <x:c r="F195" s="32" t="str">
        <x:v>.env.example sin credenciales, .gitignore excluye .env; docker-compose.yml tiene MYSQL_ROOT_PASSWORD: secret (desarrollo)</x:v>
      </x:c>
      <x:c r="G195" s="32" t="str">
        <x:v>No</x:v>
      </x:c>
      <x:c r="H195" s="32" t="str">
        <x:v>Pendiente de adjuntar</x:v>
      </x:c>
      <x:c r="I195" s="32" t="str">
        <x:v>Observado</x:v>
      </x:c>
      <x:c r="J195" s="32" t="str">
        <x:v>Alta</x:v>
      </x:c>
      <x:c r="K195" s="32" t="str">
        <x:v>Ernesto Marcial Constantino Chuchon Sotelo</x:v>
      </x:c>
      <x:c r="L195" s="32" t="str">
        <x:v>Seguridad</x:v>
      </x:c>
      <x:c r="M195" s="32" t="str">
        <x:v>Alto</x:v>
      </x:c>
      <x:c r="N195" s="32" t="str">
        <x:v>docker-compose.yml contiene password 'secret' para desarrollo; no es producción pero debe documentarse</x:v>
      </x:c>
      <x:c r="O195" s="110" t="str">
        <x:v>2026-06-01</x:v>
      </x:c>
      <x:c r="P195" s="110" t="str">
        <x:v>Pendiente</x:v>
      </x:c>
    </x:row>
    <x:row r="196">
      <x:c r="A196" s="76" t="str">
        <x:v>INT-017 Seguridad y calidad</x:v>
      </x:c>
      <x:c r="B196" s="32" t="str">
        <x:v>INT-017-BOLT-008</x:v>
      </x:c>
      <x:c r="C196" s="32" t="str">
        <x:v>Ejecutar pruebas de seguridad básicas</x:v>
      </x:c>
      <x:c r="D196" s="32" t="str">
        <x:v>Seguridad</x:v>
      </x:c>
      <x:c r="E196" s="32" t="str">
        <x:v>No</x:v>
      </x:c>
      <x:c r="F196" s="32" t="str">
        <x:v>Pendiente de adjuntar</x:v>
      </x:c>
      <x:c r="G196" s="32" t="str">
        <x:v>No</x:v>
      </x:c>
      <x:c r="H196" s="32" t="str">
        <x:v>No aplica</x:v>
      </x:c>
      <x:c r="I196" s="32" t="str">
        <x:v>Pendiente</x:v>
      </x:c>
      <x:c r="J196" s="32" t="str">
        <x:v>Alta</x:v>
      </x:c>
      <x:c r="K196" s="32" t="str">
        <x:v>Equipo SIDERAE</x:v>
      </x:c>
      <x:c r="L196" s="32" t="str">
        <x:v>Pruebas</x:v>
      </x:c>
      <x:c r="M196" s="32" t="str">
        <x:v>Alto</x:v>
      </x:c>
      <x:c r="N196" s="32" t="str">
        <x:v>No se encontraron pruebas de seguridad específicas (penetration test, OWASP)</x:v>
      </x:c>
      <x:c r="O196" s="110" t="str">
        <x:v>2026-08-01</x:v>
      </x:c>
      <x:c r="P196" s="110" t="str">
        <x:v>Pendiente</x:v>
      </x:c>
    </x:row>
    <x:row r="197">
      <x:c r="A197" s="76" t="str">
        <x:v>INT-017 Seguridad y calidad</x:v>
      </x:c>
      <x:c r="B197" s="32" t="str">
        <x:v>INT-017-BOLT-009</x:v>
      </x:c>
      <x:c r="C197" s="32" t="str">
        <x:v>Documentar hallazgos de seguridad</x:v>
      </x:c>
      <x:c r="D197" s="32" t="str">
        <x:v>Seguridad</x:v>
      </x:c>
      <x:c r="E197" s="32" t="str">
        <x:v>Sí</x:v>
      </x:c>
      <x:c r="F197" s="32" t="str">
        <x:v>docs/seguridad-roles-permisos.md, docs/calidad/matriz-seguridad-iso-27000.md</x:v>
      </x:c>
      <x:c r="G197" s="32" t="str">
        <x:v>No</x:v>
      </x:c>
      <x:c r="H197" s="32" t="str">
        <x:v>No aplica</x:v>
      </x:c>
      <x:c r="I197" s="32" t="str">
        <x:v>En proceso</x:v>
      </x:c>
      <x:c r="J197" s="32" t="str">
        <x:v>Media</x:v>
      </x:c>
      <x:c r="K197" s="32" t="str">
        <x:v>Ernesto Marcial Constantino Chuchon Sotelo</x:v>
      </x:c>
      <x:c r="L197" s="32" t="str">
        <x:v>Documentación</x:v>
      </x:c>
      <x:c r="M197" s="32" t="str">
        <x:v>Bajo</x:v>
      </x:c>
      <x:c r="N197" s="32" t="str">
        <x:v>Documentación de seguridad y roles parcial; matriz ISO 27000 creada</x:v>
      </x:c>
      <x:c r="O197" s="110" t="str">
        <x:v>2026-05-15</x:v>
      </x:c>
      <x:c r="P197" s="110" t="str">
        <x:v>Pendiente</x:v>
      </x:c>
    </x:row>
    <x:row r="198">
      <x:c r="A198" s="76" t="str">
        <x:v>INT-017 Seguridad y calidad</x:v>
      </x:c>
      <x:c r="B198" s="32" t="str">
        <x:v>INT-017-BOLT-010</x:v>
      </x:c>
      <x:c r="C198" s="32" t="str">
        <x:v>Corregir vulnerabilidades detectadas</x:v>
      </x:c>
      <x:c r="D198" s="32" t="str">
        <x:v>Seguridad</x:v>
      </x:c>
      <x:c r="E198" s="32" t="str">
        <x:v>No</x:v>
      </x:c>
      <x:c r="F198" s="32" t="str">
        <x:v>Pendiente de adjuntar</x:v>
      </x:c>
      <x:c r="G198" s="32" t="str">
        <x:v>No</x:v>
      </x:c>
      <x:c r="H198" s="32" t="str">
        <x:v>No aplica</x:v>
      </x:c>
      <x:c r="I198" s="32" t="str">
        <x:v>Pendiente</x:v>
      </x:c>
      <x:c r="J198" s="32" t="str">
        <x:v>Alta</x:v>
      </x:c>
      <x:c r="K198" s="32" t="str">
        <x:v>Equipo SIDERAE</x:v>
      </x:c>
      <x:c r="L198" s="32" t="str">
        <x:v>Seguridad</x:v>
      </x:c>
      <x:c r="M198" s="32" t="str">
        <x:v>Alto</x:v>
      </x:c>
      <x:c r="N198" s="32" t="str">
        <x:v>Depende de ejecución de pruebas de seguridad; no se encontraron correcciones explícitas</x:v>
      </x:c>
      <x:c r="O198" s="110" t="str">
        <x:v>2026-08-01</x:v>
      </x:c>
      <x:c r="P198" s="110" t="str">
        <x:v>Pendiente</x:v>
      </x:c>
    </x:row>
    <x:row r="199">
      <x:c r="A199" s="100" t="str">
        <x:v>INT-018 Pruebas automáticas</x:v>
      </x:c>
      <x:c r="B199" s="32" t="str">
        <x:v>INT-018-BOLT-001</x:v>
      </x:c>
      <x:c r="C199" s="32" t="str">
        <x:v>Crear pruebas unitarias para validación de datos mínimos</x:v>
      </x:c>
      <x:c r="D199" s="32" t="str">
        <x:v>Pruebas</x:v>
      </x:c>
      <x:c r="E199" s="32" t="str">
        <x:v>Sí</x:v>
      </x:c>
      <x:c r="F199" s="32" t="str">
        <x:v>backend/tests/Feature/RiesgoTest.php</x:v>
      </x:c>
      <x:c r="G199" s="32" t="str">
        <x:v>Sí</x:v>
      </x:c>
      <x:c r="H199" s="32" t="str">
        <x:v>php artisan test --filter=RiesgoTest</x:v>
      </x:c>
      <x:c r="I199" s="32" t="str">
        <x:v>Completado</x:v>
      </x:c>
      <x:c r="J199" s="32" t="str">
        <x:v>Alta</x:v>
      </x:c>
      <x:c r="K199" s="32" t="str">
        <x:v>Ernesto Marcial Constantino Chuchon Sotelo</x:v>
      </x:c>
      <x:c r="L199" s="32" t="str">
        <x:v>Pruebas</x:v>
      </x:c>
      <x:c r="M199" s="32" t="str">
        <x:v>Bajo</x:v>
      </x:c>
      <x:c r="N199" s="32" t="str">
        <x:v>Tests de validación de datos para procesamiento de riesgo</x:v>
      </x:c>
      <x:c r="O199" s="110" t="str">
        <x:v>2026-05-05</x:v>
      </x:c>
      <x:c r="P199" s="110" t="str">
        <x:v>2026-05-10</x:v>
      </x:c>
    </x:row>
    <x:row r="200">
      <x:c r="A200" s="100" t="str">
        <x:v>INT-018 Pruebas automáticas</x:v>
      </x:c>
      <x:c r="B200" s="32" t="str">
        <x:v>INT-018-BOLT-002</x:v>
      </x:c>
      <x:c r="C200" s="32" t="str">
        <x:v>Crear pruebas unitarias para cálculo de riesgo</x:v>
      </x:c>
      <x:c r="D200" s="32" t="str">
        <x:v>Pruebas</x:v>
      </x:c>
      <x:c r="E200" s="32" t="str">
        <x:v>Sí</x:v>
      </x:c>
      <x:c r="F200" s="32" t="str">
        <x:v>backend/tests/Feature/RiesgoTest.php (10KB)</x:v>
      </x:c>
      <x:c r="G200" s="32" t="str">
        <x:v>Sí</x:v>
      </x:c>
      <x:c r="H200" s="32" t="str">
        <x:v>php artisan test --filter=RiesgoTest</x:v>
      </x:c>
      <x:c r="I200" s="32" t="str">
        <x:v>Completado</x:v>
      </x:c>
      <x:c r="J200" s="32" t="str">
        <x:v>Alta</x:v>
      </x:c>
      <x:c r="K200" s="32" t="str">
        <x:v>Ernesto Marcial Constantino Chuchon Sotelo</x:v>
      </x:c>
      <x:c r="L200" s="32" t="str">
        <x:v>Pruebas</x:v>
      </x:c>
      <x:c r="M200" s="32" t="str">
        <x:v>Bajo</x:v>
      </x:c>
      <x:c r="N200" s="32" t="str">
        <x:v>Tests de cálculo de riesgo con estudiantes de nivel bajo, medio y alto</x:v>
      </x:c>
      <x:c r="O200" s="110" t="str">
        <x:v>2026-05-05</x:v>
      </x:c>
      <x:c r="P200" s="110" t="str">
        <x:v>2026-05-10</x:v>
      </x:c>
    </x:row>
    <x:row r="201">
      <x:c r="A201" s="100" t="str">
        <x:v>INT-018 Pruebas automáticas</x:v>
      </x:c>
      <x:c r="B201" s="32" t="str">
        <x:v>INT-018-BOLT-003</x:v>
      </x:c>
      <x:c r="C201" s="32" t="str">
        <x:v>Crear pruebas para generación de alertas</x:v>
      </x:c>
      <x:c r="D201" s="32" t="str">
        <x:v>Pruebas</x:v>
      </x:c>
      <x:c r="E201" s="32" t="str">
        <x:v>Sí</x:v>
      </x:c>
      <x:c r="F201" s="32" t="str">
        <x:v>backend/tests/Feature/AlertaIntervencionTest.php</x:v>
      </x:c>
      <x:c r="G201" s="32" t="str">
        <x:v>Sí</x:v>
      </x:c>
      <x:c r="H201" s="32" t="str">
        <x:v>php artisan test --filter=AlertaIntervencionTest</x:v>
      </x:c>
      <x:c r="I201" s="32" t="str">
        <x:v>Completado</x:v>
      </x:c>
      <x:c r="J201" s="32" t="str">
        <x:v>Alta</x:v>
      </x:c>
      <x:c r="K201" s="32" t="str">
        <x:v>Ernesto Marcial Constantino Chuchon Sotelo</x:v>
      </x:c>
      <x:c r="L201" s="32" t="str">
        <x:v>Pruebas</x:v>
      </x:c>
      <x:c r="M201" s="32" t="str">
        <x:v>Bajo</x:v>
      </x:c>
      <x:c r="N201" s="32" t="str">
        <x:v>Tests de generación automática de alertas por riesgo alto</x:v>
      </x:c>
      <x:c r="O201" s="110" t="str">
        <x:v>2026-05-05</x:v>
      </x:c>
      <x:c r="P201" s="110" t="str">
        <x:v>2026-05-10</x:v>
      </x:c>
    </x:row>
    <x:row r="202">
      <x:c r="A202" s="100" t="str">
        <x:v>INT-018 Pruebas automáticas</x:v>
      </x:c>
      <x:c r="B202" s="32" t="str">
        <x:v>INT-018-BOLT-004</x:v>
      </x:c>
      <x:c r="C202" s="32" t="str">
        <x:v>Crear pruebas para registro de intervenciones</x:v>
      </x:c>
      <x:c r="D202" s="32" t="str">
        <x:v>Pruebas</x:v>
      </x:c>
      <x:c r="E202" s="32" t="str">
        <x:v>Sí</x:v>
      </x:c>
      <x:c r="F202" s="32" t="str">
        <x:v>backend/tests/Feature/AlertaIntervencionTest.php</x:v>
      </x:c>
      <x:c r="G202" s="32" t="str">
        <x:v>Sí</x:v>
      </x:c>
      <x:c r="H202" s="32" t="str">
        <x:v>php artisan test --filter=AlertaIntervencionTest</x:v>
      </x:c>
      <x:c r="I202" s="32" t="str">
        <x:v>Completado</x:v>
      </x:c>
      <x:c r="J202" s="32" t="str">
        <x:v>Alta</x:v>
      </x:c>
      <x:c r="K202" s="32" t="str">
        <x:v>Ernesto Marcial Constantino Chuchon Sotelo</x:v>
      </x:c>
      <x:c r="L202" s="32" t="str">
        <x:v>Pruebas</x:v>
      </x:c>
      <x:c r="M202" s="32" t="str">
        <x:v>Bajo</x:v>
      </x:c>
      <x:c r="N202" s="32" t="str">
        <x:v>Tests de registro de intervenciones sobre alertas</x:v>
      </x:c>
      <x:c r="O202" s="110" t="str">
        <x:v>2026-05-05</x:v>
      </x:c>
      <x:c r="P202" s="110" t="str">
        <x:v>2026-05-10</x:v>
      </x:c>
    </x:row>
    <x:row r="203">
      <x:c r="A203" s="100" t="str">
        <x:v>INT-018 Pruebas automáticas</x:v>
      </x:c>
      <x:c r="B203" s="32" t="str">
        <x:v>INT-018-BOLT-005</x:v>
      </x:c>
      <x:c r="C203" s="32" t="str">
        <x:v>Crear pruebas para cierre de alertas</x:v>
      </x:c>
      <x:c r="D203" s="32" t="str">
        <x:v>Pruebas</x:v>
      </x:c>
      <x:c r="E203" s="32" t="str">
        <x:v>Sí</x:v>
      </x:c>
      <x:c r="F203" s="32" t="str">
        <x:v>backend/tests/Feature/AlertaIntervencionTest.php</x:v>
      </x:c>
      <x:c r="G203" s="32" t="str">
        <x:v>Sí</x:v>
      </x:c>
      <x:c r="H203" s="32" t="str">
        <x:v>php artisan test --filter=AlertaIntervencionTest</x:v>
      </x:c>
      <x:c r="I203" s="32" t="str">
        <x:v>Completado</x:v>
      </x:c>
      <x:c r="J203" s="32" t="str">
        <x:v>Alta</x:v>
      </x:c>
      <x:c r="K203" s="32" t="str">
        <x:v>Ernesto Marcial Constantino Chuchon Sotelo</x:v>
      </x:c>
      <x:c r="L203" s="32" t="str">
        <x:v>Pruebas</x:v>
      </x:c>
      <x:c r="M203" s="32" t="str">
        <x:v>Bajo</x:v>
      </x:c>
      <x:c r="N203" s="32" t="str">
        <x:v>Tests de cierre de alerta con intervención previa requerida</x:v>
      </x:c>
      <x:c r="O203" s="110" t="str">
        <x:v>2026-05-05</x:v>
      </x:c>
      <x:c r="P203" s="110" t="str">
        <x:v>2026-05-10</x:v>
      </x:c>
    </x:row>
    <x:row r="204">
      <x:c r="A204" s="100" t="str">
        <x:v>INT-018 Pruebas automáticas</x:v>
      </x:c>
      <x:c r="B204" s="32" t="str">
        <x:v>INT-018-BOLT-006</x:v>
      </x:c>
      <x:c r="C204" s="32" t="str">
        <x:v>Crear pruebas de integración Laravel-Flask</x:v>
      </x:c>
      <x:c r="D204" s="32" t="str">
        <x:v>Pruebas</x:v>
      </x:c>
      <x:c r="E204" s="32" t="str">
        <x:v>Sí</x:v>
      </x:c>
      <x:c r="F204" s="32" t="str">
        <x:v>backend/tests/Feature/RiesgoTest.php (integración con mock o servicio real)</x:v>
      </x:c>
      <x:c r="G204" s="32" t="str">
        <x:v>Sí</x:v>
      </x:c>
      <x:c r="H204" s="32" t="str">
        <x:v>php artisan test --filter=RiesgoTest</x:v>
      </x:c>
      <x:c r="I204" s="32" t="str">
        <x:v>Completado</x:v>
      </x:c>
      <x:c r="J204" s="32" t="str">
        <x:v>Alta</x:v>
      </x:c>
      <x:c r="K204" s="32" t="str">
        <x:v>Ernesto Marcial Constantino Chuchon Sotelo</x:v>
      </x:c>
      <x:c r="L204" s="32" t="str">
        <x:v>Pruebas</x:v>
      </x:c>
      <x:c r="M204" s="32" t="str">
        <x:v>Bajo</x:v>
      </x:c>
      <x:c r="N204" s="32" t="str">
        <x:v>Tests de integración Laravel-Flask para procesamiento de riesgo</x:v>
      </x:c>
      <x:c r="O204" s="110" t="str">
        <x:v>2026-05-05</x:v>
      </x:c>
      <x:c r="P204" s="110" t="str">
        <x:v>2026-05-10</x:v>
      </x:c>
    </x:row>
    <x:row r="205">
      <x:c r="A205" s="100" t="str">
        <x:v>INT-018 Pruebas automáticas</x:v>
      </x:c>
      <x:c r="B205" s="32" t="str">
        <x:v>INT-018-BOLT-007</x:v>
      </x:c>
      <x:c r="C205" s="32" t="str">
        <x:v>Crear pruebas de dashboard</x:v>
      </x:c>
      <x:c r="D205" s="32" t="str">
        <x:v>Pruebas</x:v>
      </x:c>
      <x:c r="E205" s="32" t="str">
        <x:v>Sí</x:v>
      </x:c>
      <x:c r="F205" s="32" t="str">
        <x:v>backend/tests/Feature/DashboardTest.php (11KB)</x:v>
      </x:c>
      <x:c r="G205" s="32" t="str">
        <x:v>Sí</x:v>
      </x:c>
      <x:c r="H205" s="32" t="str">
        <x:v>php artisan test --filter=DashboardTest</x:v>
      </x:c>
      <x:c r="I205" s="32" t="str">
        <x:v>Completado</x:v>
      </x:c>
      <x:c r="J205" s="32" t="str">
        <x:v>Alta</x:v>
      </x:c>
      <x:c r="K205" s="32" t="str">
        <x:v>Ernesto Marcial Constantino Chuchon Sotelo</x:v>
      </x:c>
      <x:c r="L205" s="32" t="str">
        <x:v>Pruebas</x:v>
      </x:c>
      <x:c r="M205" s="32" t="str">
        <x:v>Bajo</x:v>
      </x:c>
      <x:c r="N205" s="32" t="str">
        <x:v>Tests de dashboard con filtros, exportación PDF e indicadores</x:v>
      </x:c>
      <x:c r="O205" s="110" t="str">
        <x:v>2026-05-10</x:v>
      </x:c>
      <x:c r="P205" s="110" t="str">
        <x:v>2026-05-15</x:v>
      </x:c>
    </x:row>
    <x:row r="206">
      <x:c r="A206" s="100" t="str">
        <x:v>INT-018 Pruebas automáticas</x:v>
      </x:c>
      <x:c r="B206" s="32" t="str">
        <x:v>INT-018-BOLT-008</x:v>
      </x:c>
      <x:c r="C206" s="32" t="str">
        <x:v>Crear pruebas de permisos por rol</x:v>
      </x:c>
      <x:c r="D206" s="32" t="str">
        <x:v>Pruebas</x:v>
      </x:c>
      <x:c r="E206" s="32" t="str">
        <x:v>Sí</x:v>
      </x:c>
      <x:c r="F206" s="32" t="str">
        <x:v>backend/tests/Feature/GestionUsuariosTest.php (8KB), backend/tests/Feature/Curricular/CurricularApiTest.php</x:v>
      </x:c>
      <x:c r="G206" s="32" t="str">
        <x:v>Sí</x:v>
      </x:c>
      <x:c r="H206" s="32" t="str">
        <x:v>php artisan test --filter=GestionUsuariosTest</x:v>
      </x:c>
      <x:c r="I206" s="32" t="str">
        <x:v>Completado</x:v>
      </x:c>
      <x:c r="J206" s="32" t="str">
        <x:v>Alta</x:v>
      </x:c>
      <x:c r="K206" s="32" t="str">
        <x:v>Ernesto Marcial Constantino Chuchon Sotelo</x:v>
      </x:c>
      <x:c r="L206" s="32" t="str">
        <x:v>Pruebas</x:v>
      </x:c>
      <x:c r="M206" s="32" t="str">
        <x:v>Bajo</x:v>
      </x:c>
      <x:c r="N206" s="32" t="str">
        <x:v>Tests de permisos verificando acceso y rechazo por rol</x:v>
      </x:c>
      <x:c r="O206" s="110" t="str">
        <x:v>2026-05-10</x:v>
      </x:c>
      <x:c r="P206" s="110" t="str">
        <x:v>2026-05-15</x:v>
      </x:c>
    </x:row>
    <x:row r="207">
      <x:c r="A207" s="100" t="str">
        <x:v>INT-018 Pruebas automáticas</x:v>
      </x:c>
      <x:c r="B207" s="32" t="str">
        <x:v>INT-018-BOLT-009</x:v>
      </x:c>
      <x:c r="C207" s="32" t="str">
        <x:v>Ejecutar php artisan test</x:v>
      </x:c>
      <x:c r="D207" s="32" t="str">
        <x:v>Pruebas</x:v>
      </x:c>
      <x:c r="E207" s="32" t="str">
        <x:v>Sí</x:v>
      </x:c>
      <x:c r="F207" s="32" t="str">
        <x:v>backend/phpunit.xml, backend/composer.json (script test)</x:v>
      </x:c>
      <x:c r="G207" s="32" t="str">
        <x:v>Sí</x:v>
      </x:c>
      <x:c r="H207" s="32" t="str">
        <x:v>php artisan test</x:v>
      </x:c>
      <x:c r="I207" s="32" t="str">
        <x:v>En proceso</x:v>
      </x:c>
      <x:c r="J207" s="32" t="str">
        <x:v>Alta</x:v>
      </x:c>
      <x:c r="K207" s="32" t="str">
        <x:v>Equipo SIDERAE</x:v>
      </x:c>
      <x:c r="L207" s="32" t="str">
        <x:v>Pruebas</x:v>
      </x:c>
      <x:c r="M207" s="32" t="str">
        <x:v>Medio</x:v>
      </x:c>
      <x:c r="N207" s="32" t="str">
        <x:v>PHPUnit configurado con phpunit.xml; ejecución completa pendiente de resultado actual</x:v>
      </x:c>
      <x:c r="O207" s="110" t="str">
        <x:v>2026-05-05</x:v>
      </x:c>
      <x:c r="P207" s="110" t="str">
        <x:v>Pendiente</x:v>
      </x:c>
    </x:row>
    <x:row r="208">
      <x:c r="A208" s="100" t="str">
        <x:v>INT-018 Pruebas automáticas</x:v>
      </x:c>
      <x:c r="B208" s="32" t="str">
        <x:v>INT-018-BOLT-010</x:v>
      </x:c>
      <x:c r="C208" s="32" t="str">
        <x:v>Ejecutar Laravel Dusk para pruebas funcionales</x:v>
      </x:c>
      <x:c r="D208" s="32" t="str">
        <x:v>Pruebas</x:v>
      </x:c>
      <x:c r="E208" s="32" t="str">
        <x:v>No</x:v>
      </x:c>
      <x:c r="F208" s="32" t="str">
        <x:v>No se encontró laravel/dusk en composer.json</x:v>
      </x:c>
      <x:c r="G208" s="32" t="str">
        <x:v>No</x:v>
      </x:c>
      <x:c r="H208" s="32" t="str">
        <x:v>No aplica</x:v>
      </x:c>
      <x:c r="I208" s="32" t="str">
        <x:v>Pendiente</x:v>
      </x:c>
      <x:c r="J208" s="32" t="str">
        <x:v>Media</x:v>
      </x:c>
      <x:c r="K208" s="32" t="str">
        <x:v>Equipo SIDERAE</x:v>
      </x:c>
      <x:c r="L208" s="32" t="str">
        <x:v>Pruebas</x:v>
      </x:c>
      <x:c r="M208" s="32" t="str">
        <x:v>Alto</x:v>
      </x:c>
      <x:c r="N208" s="32" t="str">
        <x:v>Laravel Dusk no está instalado en el proyecto; falta agregar dependencia y configurar</x:v>
      </x:c>
      <x:c r="O208" s="110" t="str">
        <x:v>2026-08-01</x:v>
      </x:c>
      <x:c r="P208" s="110" t="str">
        <x:v>Pendiente</x:v>
      </x:c>
    </x:row>
    <x:row r="209">
      <x:c r="A209" s="100" t="str">
        <x:v>INT-018 Pruebas automáticas</x:v>
      </x:c>
      <x:c r="B209" s="32" t="str">
        <x:v>INT-018-BOLT-011</x:v>
      </x:c>
      <x:c r="C209" s="32" t="str">
        <x:v>Documentar resultados de pruebas</x:v>
      </x:c>
      <x:c r="D209" s="32" t="str">
        <x:v>Pruebas</x:v>
      </x:c>
      <x:c r="E209" s="32" t="str">
        <x:v>Sí</x:v>
      </x:c>
      <x:c r="F209" s="32" t="str">
        <x:v>docs/pruebas/informe-pruebas.md, docs/pruebas/Plan_de_Pruebas_SIDERAE_Blenkir.md, docs/pruebas/Fichas_Pruebas_Automatizadas_SIDERAE_Blenkir.md, docs/pruebas/Fichas_Pruebas_Manuales_SIDERAE_Blenkir.md</x:v>
      </x:c>
      <x:c r="G209" s="32" t="str">
        <x:v>No</x:v>
      </x:c>
      <x:c r="H209" s="32" t="str">
        <x:v>No aplica</x:v>
      </x:c>
      <x:c r="I209" s="32" t="str">
        <x:v>Completado</x:v>
      </x:c>
      <x:c r="J209" s="32" t="str">
        <x:v>Media</x:v>
      </x:c>
      <x:c r="K209" s="32" t="str">
        <x:v>Equipo SIDERAE</x:v>
      </x:c>
      <x:c r="L209" s="32" t="str">
        <x:v>Documentación</x:v>
      </x:c>
      <x:c r="M209" s="32" t="str">
        <x:v>Bajo</x:v>
      </x:c>
      <x:c r="N209" s="32" t="str">
        <x:v>Documentación extensa de pruebas: plan, fichas automatizadas, fichas manuales, informe</x:v>
      </x:c>
      <x:c r="O209" s="110" t="str">
        <x:v>2026-05-15</x:v>
      </x:c>
      <x:c r="P209" s="110" t="str">
        <x:v>2026-06-01</x:v>
      </x:c>
    </x:row>
    <x:row r="210">
      <x:c r="A210" s="100" t="str">
        <x:v>INT-018 Pruebas automáticas</x:v>
      </x:c>
      <x:c r="B210" s="32" t="str">
        <x:v>INT-018-BOLT-012</x:v>
      </x:c>
      <x:c r="C210" s="32" t="str">
        <x:v>Crear suite de pruebas curriculares (malla, notas semanales, evaluación bimestral, asistencia)</x:v>
      </x:c>
      <x:c r="D210" s="32" t="str">
        <x:v>Pruebas</x:v>
      </x:c>
      <x:c r="E210" s="32" t="str">
        <x:v>Sí</x:v>
      </x:c>
      <x:c r="F210" s="32" t="str">
        <x:v>backend/tests/Feature/Curricular/ (21 archivos de test), backend/tests/Unit/Curricular/ (4 archivos + subdirectorio), backend/tests/Feature/Seeders/ (4 archivos)</x:v>
      </x:c>
      <x:c r="G210" s="32" t="str">
        <x:v>Sí</x:v>
      </x:c>
      <x:c r="H210" s="32" t="str">
        <x:v>php artisan test --filter=Curricular</x:v>
      </x:c>
      <x:c r="I210" s="32" t="str">
        <x:v>Completado</x:v>
      </x:c>
      <x:c r="J210" s="32" t="str">
        <x:v>Alta</x:v>
      </x:c>
      <x:c r="K210" s="32" t="str">
        <x:v>Equipo SIDERAE</x:v>
      </x:c>
      <x:c r="L210" s="32" t="str">
        <x:v>Pruebas</x:v>
      </x:c>
      <x:c r="M210" s="32" t="str">
        <x:v>Bajo</x:v>
      </x:c>
      <x:c r="N210" s="32" t="str">
        <x:v>Suite extensa de tests curriculares con 25+ archivos cubriendo todos los módulos. Bolt adicional detectado.</x:v>
      </x:c>
      <x:c r="O210" s="110" t="str">
        <x:v>2026-05-23</x:v>
      </x:c>
      <x:c r="P210" s="110" t="str">
        <x:v>2026-05-31</x:v>
      </x:c>
    </x:row>
    <x:row r="211">
      <x:c r="A211" s="104" t="str">
        <x:v>INT-019 Documentación académica y propiedad intelectual</x:v>
      </x:c>
      <x:c r="B211" s="32" t="str">
        <x:v>INT-019-BOLT-001</x:v>
      </x:c>
      <x:c r="C211" s="32" t="str">
        <x:v>Elaborar ficha técnica del software</x:v>
      </x:c>
      <x:c r="D211" s="32" t="str">
        <x:v>Documentación</x:v>
      </x:c>
      <x:c r="E211" s="32" t="str">
        <x:v>Sí</x:v>
      </x:c>
      <x:c r="F211" s="32" t="str">
        <x:v>docs/manual-tecnico.md</x:v>
      </x:c>
      <x:c r="G211" s="32" t="str">
        <x:v>No</x:v>
      </x:c>
      <x:c r="H211" s="32" t="str">
        <x:v>No aplica</x:v>
      </x:c>
      <x:c r="I211" s="32" t="str">
        <x:v>En proceso</x:v>
      </x:c>
      <x:c r="J211" s="32" t="str">
        <x:v>Alta</x:v>
      </x:c>
      <x:c r="K211" s="32" t="str">
        <x:v>Equipo SIDERAE</x:v>
      </x:c>
      <x:c r="L211" s="32" t="str">
        <x:v>Documentación</x:v>
      </x:c>
      <x:c r="M211" s="32" t="str">
        <x:v>Bajo</x:v>
      </x:c>
      <x:c r="N211" s="32" t="str">
        <x:v>Manual técnico con arquitectura, tecnologías y endpoints; falta ficha técnica formal INDECOPI</x:v>
      </x:c>
      <x:c r="O211" s="110" t="str">
        <x:v>2026-06-15</x:v>
      </x:c>
      <x:c r="P211" s="110" t="str">
        <x:v>Pendiente</x:v>
      </x:c>
    </x:row>
    <x:row r="212">
      <x:c r="A212" s="104" t="str">
        <x:v>INT-019 Documentación académica y propiedad intelectual</x:v>
      </x:c>
      <x:c r="B212" s="32" t="str">
        <x:v>INT-019-BOLT-002</x:v>
      </x:c>
      <x:c r="C212" s="32" t="str">
        <x:v>Elaborar ejemplar del software</x:v>
      </x:c>
      <x:c r="D212" s="32" t="str">
        <x:v>Documentación</x:v>
      </x:c>
      <x:c r="E212" s="32" t="str">
        <x:v>Sí</x:v>
      </x:c>
      <x:c r="F212" s="32" t="str">
        <x:v>Repositorio completo del proyecto</x:v>
      </x:c>
      <x:c r="G212" s="32" t="str">
        <x:v>No</x:v>
      </x:c>
      <x:c r="H212" s="32" t="str">
        <x:v>No aplica</x:v>
      </x:c>
      <x:c r="I212" s="32" t="str">
        <x:v>En proceso</x:v>
      </x:c>
      <x:c r="J212" s="32" t="str">
        <x:v>Alta</x:v>
      </x:c>
      <x:c r="K212" s="32" t="str">
        <x:v>Equipo SIDERAE</x:v>
      </x:c>
      <x:c r="L212" s="32" t="str">
        <x:v>Documentación</x:v>
      </x:c>
      <x:c r="M212" s="32" t="str">
        <x:v>Bajo</x:v>
      </x:c>
      <x:c r="N212" s="32" t="str">
        <x:v>Repositorio como ejemplar; falta empaquetar según requerimientos INDECOPI</x:v>
      </x:c>
      <x:c r="O212" s="110" t="str">
        <x:v>2026-06-15</x:v>
      </x:c>
      <x:c r="P212" s="110" t="str">
        <x:v>Pendiente</x:v>
      </x:c>
    </x:row>
    <x:row r="213">
      <x:c r="A213" s="104" t="str">
        <x:v>INT-019 Documentación académica y propiedad intelectual</x:v>
      </x:c>
      <x:c r="B213" s="32" t="str">
        <x:v>INT-019-BOLT-003</x:v>
      </x:c>
      <x:c r="C213" s="32" t="str">
        <x:v>Elaborar declaración jurada de autoría</x:v>
      </x:c>
      <x:c r="D213" s="32" t="str">
        <x:v>Documentación</x:v>
      </x:c>
      <x:c r="E213" s="32" t="str">
        <x:v>No</x:v>
      </x:c>
      <x:c r="F213" s="32" t="str">
        <x:v>No se encontró evidencia en el repositorio</x:v>
      </x:c>
      <x:c r="G213" s="32" t="str">
        <x:v>No</x:v>
      </x:c>
      <x:c r="H213" s="32" t="str">
        <x:v>No aplica</x:v>
      </x:c>
      <x:c r="I213" s="32" t="str">
        <x:v>Pendiente</x:v>
      </x:c>
      <x:c r="J213" s="32" t="str">
        <x:v>Alta</x:v>
      </x:c>
      <x:c r="K213" s="32" t="str">
        <x:v>Equipo SIDERAE</x:v>
      </x:c>
      <x:c r="L213" s="32" t="str">
        <x:v>Documentación</x:v>
      </x:c>
      <x:c r="M213" s="32" t="str">
        <x:v>Alto</x:v>
      </x:c>
      <x:c r="N213" s="32" t="str">
        <x:v>Documento legal pendiente de elaboración</x:v>
      </x:c>
      <x:c r="O213" s="110" t="str">
        <x:v>2026-07-01</x:v>
      </x:c>
      <x:c r="P213" s="110" t="str">
        <x:v>Pendiente</x:v>
      </x:c>
    </x:row>
    <x:row r="214">
      <x:c r="A214" s="104" t="str">
        <x:v>INT-019 Documentación académica y propiedad intelectual</x:v>
      </x:c>
      <x:c r="B214" s="32" t="str">
        <x:v>INT-019-BOLT-004</x:v>
      </x:c>
      <x:c r="C214" s="32" t="str">
        <x:v>Elaborar lista de autores y roles</x:v>
      </x:c>
      <x:c r="D214" s="32" t="str">
        <x:v>Documentación</x:v>
      </x:c>
      <x:c r="E214" s="32" t="str">
        <x:v>Sí</x:v>
      </x:c>
      <x:c r="F214" s="32" t="str">
        <x:v>README.md (menciona equipo SIDERAE)</x:v>
      </x:c>
      <x:c r="G214" s="32" t="str">
        <x:v>No</x:v>
      </x:c>
      <x:c r="H214" s="32" t="str">
        <x:v>No aplica</x:v>
      </x:c>
      <x:c r="I214" s="32" t="str">
        <x:v>En proceso</x:v>
      </x:c>
      <x:c r="J214" s="32" t="str">
        <x:v>Media</x:v>
      </x:c>
      <x:c r="K214" s="32" t="str">
        <x:v>Equipo SIDERAE</x:v>
      </x:c>
      <x:c r="L214" s="32" t="str">
        <x:v>Documentación</x:v>
      </x:c>
      <x:c r="M214" s="32" t="str">
        <x:v>Bajo</x:v>
      </x:c>
      <x:c r="N214" s="32" t="str">
        <x:v>Lista parcial en README; falta documento formal con roles específicos</x:v>
      </x:c>
      <x:c r="O214" s="110" t="str">
        <x:v>2026-06-15</x:v>
      </x:c>
      <x:c r="P214" s="110" t="str">
        <x:v>Pendiente</x:v>
      </x:c>
    </x:row>
    <x:row r="215">
      <x:c r="A215" s="104" t="str">
        <x:v>INT-019 Documentación académica y propiedad intelectual</x:v>
      </x:c>
      <x:c r="B215" s="32" t="str">
        <x:v>INT-019-BOLT-005</x:v>
      </x:c>
      <x:c r="C215" s="32" t="str">
        <x:v>Elaborar representación legal o titularidad</x:v>
      </x:c>
      <x:c r="D215" s="32" t="str">
        <x:v>Documentación</x:v>
      </x:c>
      <x:c r="E215" s="32" t="str">
        <x:v>No</x:v>
      </x:c>
      <x:c r="F215" s="32" t="str">
        <x:v>No se encontró evidencia en el repositorio</x:v>
      </x:c>
      <x:c r="G215" s="32" t="str">
        <x:v>No</x:v>
      </x:c>
      <x:c r="H215" s="32" t="str">
        <x:v>No aplica</x:v>
      </x:c>
      <x:c r="I215" s="32" t="str">
        <x:v>Pendiente</x:v>
      </x:c>
      <x:c r="J215" s="32" t="str">
        <x:v>Alta</x:v>
      </x:c>
      <x:c r="K215" s="32" t="str">
        <x:v>Equipo SIDERAE</x:v>
      </x:c>
      <x:c r="L215" s="32" t="str">
        <x:v>Documentación</x:v>
      </x:c>
      <x:c r="M215" s="32" t="str">
        <x:v>Alto</x:v>
      </x:c>
      <x:c r="N215" s="32" t="str">
        <x:v>Documento legal pendiente de elaboración</x:v>
      </x:c>
      <x:c r="O215" s="110" t="str">
        <x:v>2026-07-01</x:v>
      </x:c>
      <x:c r="P215" s="110" t="str">
        <x:v>Pendiente</x:v>
      </x:c>
    </x:row>
    <x:row r="216">
      <x:c r="A216" s="104" t="str">
        <x:v>INT-019 Documentación académica y propiedad intelectual</x:v>
      </x:c>
      <x:c r="B216" s="32" t="str">
        <x:v>INT-019-BOLT-006</x:v>
      </x:c>
      <x:c r="C216" s="32" t="str">
        <x:v>Elaborar anexos técnicos</x:v>
      </x:c>
      <x:c r="D216" s="32" t="str">
        <x:v>Documentación</x:v>
      </x:c>
      <x:c r="E216" s="32" t="str">
        <x:v>Sí</x:v>
      </x:c>
      <x:c r="F216" s="32" t="str">
        <x:v>docs/arquitectura/ (7 documentos), docs/calidad/ (5 documentos), docs/api.md</x:v>
      </x:c>
      <x:c r="G216" s="32" t="str">
        <x:v>No</x:v>
      </x:c>
      <x:c r="H216" s="32" t="str">
        <x:v>No aplica</x:v>
      </x:c>
      <x:c r="I216" s="32" t="str">
        <x:v>En proceso</x:v>
      </x:c>
      <x:c r="J216" s="32" t="str">
        <x:v>Media</x:v>
      </x:c>
      <x:c r="K216" s="32" t="str">
        <x:v>Equipo SIDERAE</x:v>
      </x:c>
      <x:c r="L216" s="32" t="str">
        <x:v>Documentación</x:v>
      </x:c>
      <x:c r="M216" s="32" t="str">
        <x:v>Bajo</x:v>
      </x:c>
      <x:c r="N216" s="32" t="str">
        <x:v>Documentación técnica extensa; falta organizar como anexos formales</x:v>
      </x:c>
      <x:c r="O216" s="110" t="str">
        <x:v>2026-06-15</x:v>
      </x:c>
      <x:c r="P216" s="110" t="str">
        <x:v>Pendiente</x:v>
      </x:c>
    </x:row>
    <x:row r="217">
      <x:c r="A217" s="104" t="str">
        <x:v>INT-019 Documentación académica y propiedad intelectual</x:v>
      </x:c>
      <x:c r="B217" s="32" t="str">
        <x:v>INT-019-BOLT-007</x:v>
      </x:c>
      <x:c r="C217" s="32" t="str">
        <x:v>Elaborar memoria descriptiva para INDECOPI</x:v>
      </x:c>
      <x:c r="D217" s="32" t="str">
        <x:v>Documentación</x:v>
      </x:c>
      <x:c r="E217" s="32" t="str">
        <x:v>No</x:v>
      </x:c>
      <x:c r="F217" s="32" t="str">
        <x:v>No se encontró evidencia en el repositorio</x:v>
      </x:c>
      <x:c r="G217" s="32" t="str">
        <x:v>No</x:v>
      </x:c>
      <x:c r="H217" s="32" t="str">
        <x:v>No aplica</x:v>
      </x:c>
      <x:c r="I217" s="32" t="str">
        <x:v>Pendiente</x:v>
      </x:c>
      <x:c r="J217" s="32" t="str">
        <x:v>Alta</x:v>
      </x:c>
      <x:c r="K217" s="32" t="str">
        <x:v>Equipo SIDERAE</x:v>
      </x:c>
      <x:c r="L217" s="32" t="str">
        <x:v>Documentación</x:v>
      </x:c>
      <x:c r="M217" s="32" t="str">
        <x:v>Alto</x:v>
      </x:c>
      <x:c r="N217" s="32" t="str">
        <x:v>Memoria descriptiva para registro de software en INDECOPI pendiente</x:v>
      </x:c>
      <x:c r="O217" s="110" t="str">
        <x:v>2026-07-15</x:v>
      </x:c>
      <x:c r="P217" s="110" t="str">
        <x:v>Pendiente</x:v>
      </x:c>
    </x:row>
    <x:row r="218">
      <x:c r="A218" s="104" t="str">
        <x:v>INT-019 Documentación académica y propiedad intelectual</x:v>
      </x:c>
      <x:c r="B218" s="32" t="str">
        <x:v>INT-019-BOLT-008</x:v>
      </x:c>
      <x:c r="C218" s="32" t="str">
        <x:v>Elaborar documentación de cursos por nivel y grado</x:v>
      </x:c>
      <x:c r="D218" s="32" t="str">
        <x:v>Documentación</x:v>
      </x:c>
      <x:c r="E218" s="32" t="str">
        <x:v>Sí</x:v>
      </x:c>
      <x:c r="F218" s="32" t="str">
        <x:v>docs/aula-notas-excel.md (20KB), docs/arquitectura/contexto-drs-requerimientos.md</x:v>
      </x:c>
      <x:c r="G218" s="32" t="str">
        <x:v>No</x:v>
      </x:c>
      <x:c r="H218" s="32" t="str">
        <x:v>No aplica</x:v>
      </x:c>
      <x:c r="I218" s="32" t="str">
        <x:v>En proceso</x:v>
      </x:c>
      <x:c r="J218" s="32" t="str">
        <x:v>Media</x:v>
      </x:c>
      <x:c r="K218" s="32" t="str">
        <x:v>Equipo SIDERAE</x:v>
      </x:c>
      <x:c r="L218" s="32" t="str">
        <x:v>Documentación</x:v>
      </x:c>
      <x:c r="M218" s="32" t="str">
        <x:v>Bajo</x:v>
      </x:c>
      <x:c r="N218" s="32" t="str">
        <x:v>Documentación de notas por aula y requerimientos; falta documento de cursos por nivel/grado formal</x:v>
      </x:c>
      <x:c r="O218" s="110" t="str">
        <x:v>2026-06-01</x:v>
      </x:c>
      <x:c r="P218" s="110" t="str">
        <x:v>Pendiente</x:v>
      </x:c>
    </x:row>
    <x:row r="219">
      <x:c r="A219" s="104" t="str">
        <x:v>INT-019 Documentación académica y propiedad intelectual</x:v>
      </x:c>
      <x:c r="B219" s="32" t="str">
        <x:v>INT-019-BOLT-009</x:v>
      </x:c>
      <x:c r="C219" s="32" t="str">
        <x:v>Elaborar mapeo de competencias y capacidades de Inicial</x:v>
      </x:c>
      <x:c r="D219" s="32" t="str">
        <x:v>Documentación</x:v>
      </x:c>
      <x:c r="E219" s="32" t="str">
        <x:v>Sí</x:v>
      </x:c>
      <x:c r="F219" s="32" t="str">
        <x:v>Mapeo_Competencias_Capacidades_Cursos_Inicial_SIDERAE_Blenkir.docx, Mapeo_Adicional_Ingles_Educacion_Fisica_Inicial_SIDERAE_Blenkir.docx</x:v>
      </x:c>
      <x:c r="G219" s="32" t="str">
        <x:v>No</x:v>
      </x:c>
      <x:c r="H219" s="32" t="str">
        <x:v>No aplica</x:v>
      </x:c>
      <x:c r="I219" s="32" t="str">
        <x:v>Completado</x:v>
      </x:c>
      <x:c r="J219" s="32" t="str">
        <x:v>Alta</x:v>
      </x:c>
      <x:c r="K219" s="32" t="str">
        <x:v>Equipo SIDERAE</x:v>
      </x:c>
      <x:c r="L219" s="32" t="str">
        <x:v>Documentación</x:v>
      </x:c>
      <x:c r="M219" s="32" t="str">
        <x:v>Bajo</x:v>
      </x:c>
      <x:c r="N219" s="32" t="str">
        <x:v>Dos documentos Word con mapeo completo de competencias y capacidades de Inicial</x:v>
      </x:c>
      <x:c r="O219" s="110" t="str">
        <x:v>2026-05-27</x:v>
      </x:c>
      <x:c r="P219" s="110" t="str">
        <x:v>2026-05-27</x:v>
      </x:c>
    </x:row>
    <x:row r="220">
      <x:c r="A220" s="104" t="str">
        <x:v>INT-019 Documentación académica y propiedad intelectual</x:v>
      </x:c>
      <x:c r="B220" s="32" t="str">
        <x:v>INT-019-BOLT-010</x:v>
      </x:c>
      <x:c r="C220" s="32" t="str">
        <x:v>Elaborar manual de instalación</x:v>
      </x:c>
      <x:c r="D220" s="32" t="str">
        <x:v>Documentación</x:v>
      </x:c>
      <x:c r="E220" s="32" t="str">
        <x:v>Sí</x:v>
      </x:c>
      <x:c r="F220" s="32" t="str">
        <x:v>docs/instalacion-docker.md (6KB)</x:v>
      </x:c>
      <x:c r="G220" s="32" t="str">
        <x:v>No</x:v>
      </x:c>
      <x:c r="H220" s="32" t="str">
        <x:v>No aplica</x:v>
      </x:c>
      <x:c r="I220" s="32" t="str">
        <x:v>Completado</x:v>
      </x:c>
      <x:c r="J220" s="32" t="str">
        <x:v>Media</x:v>
      </x:c>
      <x:c r="K220" s="32" t="str">
        <x:v>Equipo SIDERAE</x:v>
      </x:c>
      <x:c r="L220" s="32" t="str">
        <x:v>Documentación</x:v>
      </x:c>
      <x:c r="M220" s="32" t="str">
        <x:v>Bajo</x:v>
      </x:c>
      <x:c r="N220" s="32" t="str">
        <x:v>Manual de instalación con Docker Compose documentado</x:v>
      </x:c>
      <x:c r="O220" s="110" t="str">
        <x:v>2026-05-05</x:v>
      </x:c>
      <x:c r="P220" s="110" t="str">
        <x:v>2026-05-10</x:v>
      </x:c>
    </x:row>
    <x:row r="221">
      <x:c r="A221" s="104" t="str">
        <x:v>INT-019 Documentación académica y propiedad intelectual</x:v>
      </x:c>
      <x:c r="B221" s="32" t="str">
        <x:v>INT-019-BOLT-011</x:v>
      </x:c>
      <x:c r="C221" s="32" t="str">
        <x:v>Elaborar manual de usuario</x:v>
      </x:c>
      <x:c r="D221" s="32" t="str">
        <x:v>Documentación</x:v>
      </x:c>
      <x:c r="E221" s="32" t="str">
        <x:v>Sí</x:v>
      </x:c>
      <x:c r="F221" s="32" t="str">
        <x:v>docs/manual-usuario.md (30KB)</x:v>
      </x:c>
      <x:c r="G221" s="32" t="str">
        <x:v>No</x:v>
      </x:c>
      <x:c r="H221" s="32" t="str">
        <x:v>No aplica</x:v>
      </x:c>
      <x:c r="I221" s="32" t="str">
        <x:v>Completado</x:v>
      </x:c>
      <x:c r="J221" s="32" t="str">
        <x:v>Media</x:v>
      </x:c>
      <x:c r="K221" s="32" t="str">
        <x:v>Equipo SIDERAE</x:v>
      </x:c>
      <x:c r="L221" s="32" t="str">
        <x:v>Documentación</x:v>
      </x:c>
      <x:c r="M221" s="32" t="str">
        <x:v>Bajo</x:v>
      </x:c>
      <x:c r="N221" s="32" t="str">
        <x:v>Manual de usuario extenso de 30KB</x:v>
      </x:c>
      <x:c r="O221" s="110" t="str">
        <x:v>2026-05-10</x:v>
      </x:c>
      <x:c r="P221" s="110" t="str">
        <x:v>2026-05-15</x:v>
      </x:c>
    </x:row>
    <x:row r="222">
      <x:c r="A222" s="104" t="str">
        <x:v>INT-019 Documentación académica y propiedad intelectual</x:v>
      </x:c>
      <x:c r="B222" s="32" t="str">
        <x:v>INT-019-BOLT-012</x:v>
      </x:c>
      <x:c r="C222" s="32" t="str">
        <x:v>Preparar capturas del sistema</x:v>
      </x:c>
      <x:c r="D222" s="32" t="str">
        <x:v>Documentación</x:v>
      </x:c>
      <x:c r="E222" s="32" t="str">
        <x:v>No</x:v>
      </x:c>
      <x:c r="F222" s="32" t="str">
        <x:v>Pendiente de adjuntar</x:v>
      </x:c>
      <x:c r="G222" s="32" t="str">
        <x:v>No</x:v>
      </x:c>
      <x:c r="H222" s="32" t="str">
        <x:v>No aplica</x:v>
      </x:c>
      <x:c r="I222" s="32" t="str">
        <x:v>Pendiente</x:v>
      </x:c>
      <x:c r="J222" s="32" t="str">
        <x:v>Media</x:v>
      </x:c>
      <x:c r="K222" s="32" t="str">
        <x:v>Diego Ricardo Carhuamaca Vasquez</x:v>
      </x:c>
      <x:c r="L222" s="32" t="str">
        <x:v>Documentación</x:v>
      </x:c>
      <x:c r="M222" s="32" t="str">
        <x:v>Medio</x:v>
      </x:c>
      <x:c r="N222" s="32" t="str">
        <x:v>No se encontraron capturas del sistema en el repositorio</x:v>
      </x:c>
      <x:c r="O222" s="110" t="str">
        <x:v>2026-07-01</x:v>
      </x:c>
      <x:c r="P222" s="110" t="str">
        <x:v>Pendiente</x:v>
      </x:c>
    </x:row>
    <x:row r="223">
      <x:c r="A223" s="104" t="str">
        <x:v>INT-019 Documentación académica y propiedad intelectual</x:v>
      </x:c>
      <x:c r="B223" s="32" t="str">
        <x:v>INT-019-BOLT-013</x:v>
      </x:c>
      <x:c r="C223" s="32" t="str">
        <x:v>Elaborar informe final preliminar</x:v>
      </x:c>
      <x:c r="D223" s="32" t="str">
        <x:v>Documentación</x:v>
      </x:c>
      <x:c r="E223" s="32" t="str">
        <x:v>Sí</x:v>
      </x:c>
      <x:c r="F223" s="32" t="str">
        <x:v>docs/entregables/Informe_Final_SIDERAE_Blenkir_Preliminar.docx (2.5MB)</x:v>
      </x:c>
      <x:c r="G223" s="32" t="str">
        <x:v>No</x:v>
      </x:c>
      <x:c r="H223" s="32" t="str">
        <x:v>No aplica</x:v>
      </x:c>
      <x:c r="I223" s="32" t="str">
        <x:v>En proceso</x:v>
      </x:c>
      <x:c r="J223" s="32" t="str">
        <x:v>Alta</x:v>
      </x:c>
      <x:c r="K223" s="32" t="str">
        <x:v>Equipo SIDERAE</x:v>
      </x:c>
      <x:c r="L223" s="32" t="str">
        <x:v>Documentación</x:v>
      </x:c>
      <x:c r="M223" s="32" t="str">
        <x:v>Bajo</x:v>
      </x:c>
      <x:c r="N223" s="32" t="str">
        <x:v>Informe final preliminar en Word (2.5MB). Bolt adicional detectado.</x:v>
      </x:c>
      <x:c r="O223" s="110" t="str">
        <x:v>2026-06-01</x:v>
      </x:c>
      <x:c r="P223" s="110" t="str">
        <x:v>Pendiente</x:v>
      </x:c>
    </x:row>
    <x:row r="224">
      <x:c r="A224" s="104" t="str">
        <x:v>INT-019 Documentación académica y propiedad intelectual</x:v>
      </x:c>
      <x:c r="B224" s="32" t="str">
        <x:v>INT-019-BOLT-014</x:v>
      </x:c>
      <x:c r="C224" s="32" t="str">
        <x:v>Elaborar Estado del Arte</x:v>
      </x:c>
      <x:c r="D224" s="32" t="str">
        <x:v>Documentación</x:v>
      </x:c>
      <x:c r="E224" s="32" t="str">
        <x:v>Sí</x:v>
      </x:c>
      <x:c r="F224" s="32" t="str">
        <x:v>docs/entregables/Estado_del_Arte_SIDERAE_Blenkir.docx, docs/entregables/Estado_del_Arte_SIDERAE_Blenkir.pdf, docs/estado-del-arte/</x:v>
      </x:c>
      <x:c r="G224" s="32" t="str">
        <x:v>No</x:v>
      </x:c>
      <x:c r="H224" s="32" t="str">
        <x:v>No aplica</x:v>
      </x:c>
      <x:c r="I224" s="32" t="str">
        <x:v>Completado</x:v>
      </x:c>
      <x:c r="J224" s="32" t="str">
        <x:v>Alta</x:v>
      </x:c>
      <x:c r="K224" s="32" t="str">
        <x:v>Equipo SIDERAE</x:v>
      </x:c>
      <x:c r="L224" s="32" t="str">
        <x:v>Documentación</x:v>
      </x:c>
      <x:c r="M224" s="32" t="str">
        <x:v>Bajo</x:v>
      </x:c>
      <x:c r="N224" s="32" t="str">
        <x:v>Estado del arte en Word y PDF. Bolt adicional detectado.</x:v>
      </x:c>
      <x:c r="O224" s="110" t="str">
        <x:v>2026-05-15</x:v>
      </x:c>
      <x:c r="P224" s="110" t="str">
        <x:v>2026-05-20</x:v>
      </x:c>
    </x:row>
    <x:row r="225">
      <x:c r="A225" s="104" t="str">
        <x:v>INT-019 Documentación académica y propiedad intelectual</x:v>
      </x:c>
      <x:c r="B225" s="32" t="str">
        <x:v>INT-019-BOLT-015</x:v>
      </x:c>
      <x:c r="C225" s="32" t="str">
        <x:v>Elaborar DRS (Documento de Requerimientos de Software)</x:v>
      </x:c>
      <x:c r="D225" s="32" t="str">
        <x:v>Documentación</x:v>
      </x:c>
      <x:c r="E225" s="32" t="str">
        <x:v>Sí</x:v>
      </x:c>
      <x:c r="F225" s="32" t="str">
        <x:v>docs/drs/DRS_SIDERAE_Blenkir_v2.md (61KB)</x:v>
      </x:c>
      <x:c r="G225" s="32" t="str">
        <x:v>No</x:v>
      </x:c>
      <x:c r="H225" s="32" t="str">
        <x:v>No aplica</x:v>
      </x:c>
      <x:c r="I225" s="32" t="str">
        <x:v>Completado</x:v>
      </x:c>
      <x:c r="J225" s="32" t="str">
        <x:v>Alta</x:v>
      </x:c>
      <x:c r="K225" s="32" t="str">
        <x:v>Equipo SIDERAE</x:v>
      </x:c>
      <x:c r="L225" s="32" t="str">
        <x:v>Documentación</x:v>
      </x:c>
      <x:c r="M225" s="32" t="str">
        <x:v>Bajo</x:v>
      </x:c>
      <x:c r="N225" s="32" t="str">
        <x:v>DRS v2 extenso de 61KB. Bolt adicional detectado.</x:v>
      </x:c>
      <x:c r="O225" s="110" t="str">
        <x:v>2026-05-01</x:v>
      </x:c>
      <x:c r="P225" s="110" t="str">
        <x:v>2026-05-15</x:v>
      </x:c>
    </x:row>
    <x:row r="226">
      <x:c r="A226" s="104" t="str">
        <x:v>INT-019 Documentación académica y propiedad intelectual</x:v>
      </x:c>
      <x:c r="B226" s="32" t="str">
        <x:v>INT-019-BOLT-016</x:v>
      </x:c>
      <x:c r="C226" s="32" t="str">
        <x:v>Elaborar documentación de calidad ISO</x:v>
      </x:c>
      <x:c r="D226" s="32" t="str">
        <x:v>Documentación</x:v>
      </x:c>
      <x:c r="E226" s="32" t="str">
        <x:v>Sí</x:v>
      </x:c>
      <x:c r="F226" s="32" t="str">
        <x:v>docs/calidad/alineacion-iso.md, docs/calidad/matriz-iso-25010.md, docs/calidad/matriz-seguridad-iso-27000.md, docs/calidad/trazabilidad-iso-9001.md, docs/calidad/no-conformidades-y-mejora.md</x:v>
      </x:c>
      <x:c r="G226" s="32" t="str">
        <x:v>No</x:v>
      </x:c>
      <x:c r="H226" s="32" t="str">
        <x:v>No aplica</x:v>
      </x:c>
      <x:c r="I226" s="32" t="str">
        <x:v>Completado</x:v>
      </x:c>
      <x:c r="J226" s="32" t="str">
        <x:v>Media</x:v>
      </x:c>
      <x:c r="K226" s="32" t="str">
        <x:v>Equipo SIDERAE</x:v>
      </x:c>
      <x:c r="L226" s="32" t="str">
        <x:v>Documentación</x:v>
      </x:c>
      <x:c r="M226" s="32" t="str">
        <x:v>Bajo</x:v>
      </x:c>
      <x:c r="N226" s="32" t="str">
        <x:v>5 documentos de calidad ISO (25010, 27000, 9001). Bolt adicional detectado.</x:v>
      </x:c>
      <x:c r="O226" s="110" t="str">
        <x:v>2026-05-15</x:v>
      </x:c>
      <x:c r="P226" s="110" t="str">
        <x:v>2026-06-01</x:v>
      </x:c>
    </x:row>
    <x:row r="227">
      <x:c r="A227" s="108" t="str">
        <x:v>INT-020 Validación con el Colegio Blenkir</x:v>
      </x:c>
      <x:c r="B227" s="32" t="str">
        <x:v>INT-020-BOLT-001</x:v>
      </x:c>
      <x:c r="C227" s="32" t="str">
        <x:v>Preparar guía de entrevista</x:v>
      </x:c>
      <x:c r="D227" s="32" t="str">
        <x:v>Validación institucional</x:v>
      </x:c>
      <x:c r="E227" s="32" t="str">
        <x:v>No</x:v>
      </x:c>
      <x:c r="F227" s="32" t="str">
        <x:v>Pendiente de adjuntar</x:v>
      </x:c>
      <x:c r="G227" s="32" t="str">
        <x:v>No</x:v>
      </x:c>
      <x:c r="H227" s="32" t="str">
        <x:v>No aplica</x:v>
      </x:c>
      <x:c r="I227" s="32" t="str">
        <x:v>En proceso</x:v>
      </x:c>
      <x:c r="J227" s="32" t="str">
        <x:v>Alta</x:v>
      </x:c>
      <x:c r="K227" s="32" t="str">
        <x:v>Equipo SIDERAE</x:v>
      </x:c>
      <x:c r="L227" s="32" t="str">
        <x:v>Validación institucional</x:v>
      </x:c>
      <x:c r="M227" s="32" t="str">
        <x:v>Medio</x:v>
      </x:c>
      <x:c r="N227" s="32" t="str">
        <x:v>Guía de entrevista pendiente de formalizar; información recopilada según docs</x:v>
      </x:c>
      <x:c r="O227" s="110" t="str">
        <x:v>2026-06-15</x:v>
      </x:c>
      <x:c r="P227" s="110" t="str">
        <x:v>Pendiente</x:v>
      </x:c>
    </x:row>
    <x:row r="228">
      <x:c r="A228" s="108" t="str">
        <x:v>INT-020 Validación con el Colegio Blenkir</x:v>
      </x:c>
      <x:c r="B228" s="32" t="str">
        <x:v>INT-020-BOLT-002</x:v>
      </x:c>
      <x:c r="C228" s="32" t="str">
        <x:v>Levantar información del sistema actual del colegio</x:v>
      </x:c>
      <x:c r="D228" s="32" t="str">
        <x:v>Validación institucional</x:v>
      </x:c>
      <x:c r="E228" s="32" t="str">
        <x:v>Sí</x:v>
      </x:c>
      <x:c r="F228" s="32" t="str">
        <x:v>docs/drs/DRS_SIDERAE_Blenkir_v2.md (análisis del contexto del colegio)</x:v>
      </x:c>
      <x:c r="G228" s="32" t="str">
        <x:v>No</x:v>
      </x:c>
      <x:c r="H228" s="32" t="str">
        <x:v>No aplica</x:v>
      </x:c>
      <x:c r="I228" s="32" t="str">
        <x:v>En proceso</x:v>
      </x:c>
      <x:c r="J228" s="32" t="str">
        <x:v>Alta</x:v>
      </x:c>
      <x:c r="K228" s="32" t="str">
        <x:v>Equipo SIDERAE</x:v>
      </x:c>
      <x:c r="L228" s="32" t="str">
        <x:v>Validación institucional</x:v>
      </x:c>
      <x:c r="M228" s="32" t="str">
        <x:v>Bajo</x:v>
      </x:c>
      <x:c r="N228" s="32" t="str">
        <x:v>Información parcial recopilada en DRS; falta documento de levantamiento formal</x:v>
      </x:c>
      <x:c r="O228" s="110" t="str">
        <x:v>2026-06-01</x:v>
      </x:c>
      <x:c r="P228" s="110" t="str">
        <x:v>Pendiente</x:v>
      </x:c>
    </x:row>
    <x:row r="229">
      <x:c r="A229" s="108" t="str">
        <x:v>INT-020 Validación con el Colegio Blenkir</x:v>
      </x:c>
      <x:c r="B229" s="32" t="str">
        <x:v>INT-020-BOLT-003</x:v>
      </x:c>
      <x:c r="C229" s="32" t="str">
        <x:v>Analizar flujo real de notas</x:v>
      </x:c>
      <x:c r="D229" s="32" t="str">
        <x:v>Validación institucional</x:v>
      </x:c>
      <x:c r="E229" s="32" t="str">
        <x:v>Sí</x:v>
      </x:c>
      <x:c r="F229" s="32" t="str">
        <x:v>docs/aula-notas-excel.md, backend/database/seeders/Curricular/CatalogoInstitucionalBlenkir.php</x:v>
      </x:c>
      <x:c r="G229" s="32" t="str">
        <x:v>No</x:v>
      </x:c>
      <x:c r="H229" s="32" t="str">
        <x:v>No aplica</x:v>
      </x:c>
      <x:c r="I229" s="32" t="str">
        <x:v>En proceso</x:v>
      </x:c>
      <x:c r="J229" s="32" t="str">
        <x:v>Alta</x:v>
      </x:c>
      <x:c r="K229" s="32" t="str">
        <x:v>Equipo SIDERAE</x:v>
      </x:c>
      <x:c r="L229" s="32" t="str">
        <x:v>Validación institucional</x:v>
      </x:c>
      <x:c r="M229" s="32" t="str">
        <x:v>Bajo</x:v>
      </x:c>
      <x:c r="N229" s="32" t="str">
        <x:v>Flujo de notas analizado y reflejado en seeders institucionales y documentación</x:v>
      </x:c>
      <x:c r="O229" s="110" t="str">
        <x:v>2026-05-23</x:v>
      </x:c>
      <x:c r="P229" s="110" t="str">
        <x:v>Pendiente</x:v>
      </x:c>
    </x:row>
    <x:row r="230">
      <x:c r="A230" s="108" t="str">
        <x:v>INT-020 Validación con el Colegio Blenkir</x:v>
      </x:c>
      <x:c r="B230" s="32" t="str">
        <x:v>INT-020-BOLT-004</x:v>
      </x:c>
      <x:c r="C230" s="32" t="str">
        <x:v>Analizar flujo real de asistencia</x:v>
      </x:c>
      <x:c r="D230" s="32" t="str">
        <x:v>Validación institucional</x:v>
      </x:c>
      <x:c r="E230" s="32" t="str">
        <x:v>No</x:v>
      </x:c>
      <x:c r="F230" s="32" t="str">
        <x:v>Pendiente de adjuntar</x:v>
      </x:c>
      <x:c r="G230" s="32" t="str">
        <x:v>No</x:v>
      </x:c>
      <x:c r="H230" s="32" t="str">
        <x:v>No aplica</x:v>
      </x:c>
      <x:c r="I230" s="32" t="str">
        <x:v>Pendiente</x:v>
      </x:c>
      <x:c r="J230" s="32" t="str">
        <x:v>Media</x:v>
      </x:c>
      <x:c r="K230" s="32" t="str">
        <x:v>Equipo SIDERAE</x:v>
      </x:c>
      <x:c r="L230" s="32" t="str">
        <x:v>Validación institucional</x:v>
      </x:c>
      <x:c r="M230" s="32" t="str">
        <x:v>Medio</x:v>
      </x:c>
      <x:c r="N230" s="32" t="str">
        <x:v>Flujo real de asistencia del colegio pendiente de documentar</x:v>
      </x:c>
      <x:c r="O230" s="110" t="str">
        <x:v>2026-07-01</x:v>
      </x:c>
      <x:c r="P230" s="110" t="str">
        <x:v>Pendiente</x:v>
      </x:c>
    </x:row>
    <x:row r="231">
      <x:c r="A231" s="108" t="str">
        <x:v>INT-020 Validación con el Colegio Blenkir</x:v>
      </x:c>
      <x:c r="B231" s="32" t="str">
        <x:v>INT-020-BOLT-005</x:v>
      </x:c>
      <x:c r="C231" s="32" t="str">
        <x:v>Analizar boletas institucionales</x:v>
      </x:c>
      <x:c r="D231" s="32" t="str">
        <x:v>Validación institucional</x:v>
      </x:c>
      <x:c r="E231" s="32" t="str">
        <x:v>No</x:v>
      </x:c>
      <x:c r="F231" s="32" t="str">
        <x:v>Pendiente de adjuntar</x:v>
      </x:c>
      <x:c r="G231" s="32" t="str">
        <x:v>No</x:v>
      </x:c>
      <x:c r="H231" s="32" t="str">
        <x:v>No aplica</x:v>
      </x:c>
      <x:c r="I231" s="32" t="str">
        <x:v>Pendiente</x:v>
      </x:c>
      <x:c r="J231" s="32" t="str">
        <x:v>Media</x:v>
      </x:c>
      <x:c r="K231" s="32" t="str">
        <x:v>Equipo SIDERAE</x:v>
      </x:c>
      <x:c r="L231" s="32" t="str">
        <x:v>Validación institucional</x:v>
      </x:c>
      <x:c r="M231" s="32" t="str">
        <x:v>Medio</x:v>
      </x:c>
      <x:c r="N231" s="32" t="str">
        <x:v>Análisis de formato de boletas del colegio pendiente</x:v>
      </x:c>
      <x:c r="O231" s="110" t="str">
        <x:v>2026-07-01</x:v>
      </x:c>
      <x:c r="P231" s="110" t="str">
        <x:v>Pendiente</x:v>
      </x:c>
    </x:row>
    <x:row r="232">
      <x:c r="A232" s="108" t="str">
        <x:v>INT-020 Validación con el Colegio Blenkir</x:v>
      </x:c>
      <x:c r="B232" s="32" t="str">
        <x:v>INT-020-BOLT-006</x:v>
      </x:c>
      <x:c r="C232" s="32" t="str">
        <x:v>Analizar plantillas Excel del colegio</x:v>
      </x:c>
      <x:c r="D232" s="32" t="str">
        <x:v>Validación institucional</x:v>
      </x:c>
      <x:c r="E232" s="32" t="str">
        <x:v>Sí</x:v>
      </x:c>
      <x:c r="F232" s="32" t="str">
        <x:v>docs/aula-notas-excel.md (análisis de plantilla registro auxiliar)</x:v>
      </x:c>
      <x:c r="G232" s="32" t="str">
        <x:v>No</x:v>
      </x:c>
      <x:c r="H232" s="32" t="str">
        <x:v>No aplica</x:v>
      </x:c>
      <x:c r="I232" s="32" t="str">
        <x:v>En proceso</x:v>
      </x:c>
      <x:c r="J232" s="32" t="str">
        <x:v>Alta</x:v>
      </x:c>
      <x:c r="K232" s="32" t="str">
        <x:v>Equipo SIDERAE</x:v>
      </x:c>
      <x:c r="L232" s="32" t="str">
        <x:v>Validación institucional</x:v>
      </x:c>
      <x:c r="M232" s="32" t="str">
        <x:v>Bajo</x:v>
      </x:c>
      <x:c r="N232" s="32" t="str">
        <x:v>Plantilla de registro auxiliar analizada y replicada en el sistema</x:v>
      </x:c>
      <x:c r="O232" s="110" t="str">
        <x:v>2026-05-23</x:v>
      </x:c>
      <x:c r="P232" s="110" t="str">
        <x:v>Pendiente</x:v>
      </x:c>
    </x:row>
    <x:row r="233">
      <x:c r="A233" s="108" t="str">
        <x:v>INT-020 Validación con el Colegio Blenkir</x:v>
      </x:c>
      <x:c r="B233" s="32" t="str">
        <x:v>INT-020-BOLT-007</x:v>
      </x:c>
      <x:c r="C233" s="32" t="str">
        <x:v>Validar cursos por nivel y grado</x:v>
      </x:c>
      <x:c r="D233" s="32" t="str">
        <x:v>Validación institucional</x:v>
      </x:c>
      <x:c r="E233" s="32" t="str">
        <x:v>Sí</x:v>
      </x:c>
      <x:c r="F233" s="32" t="str">
        <x:v>backend/database/seeders/Curricular/CatalogoInstitucionalBlenkir.php</x:v>
      </x:c>
      <x:c r="G233" s="32" t="str">
        <x:v>Sí</x:v>
      </x:c>
      <x:c r="H233" s="32" t="str">
        <x:v>backend/tests/Feature/Curricular/CurricularSeedersTest.php</x:v>
      </x:c>
      <x:c r="I233" s="32" t="str">
        <x:v>En proceso</x:v>
      </x:c>
      <x:c r="J233" s="32" t="str">
        <x:v>Alta</x:v>
      </x:c>
      <x:c r="K233" s="32" t="str">
        <x:v>Equipo SIDERAE</x:v>
      </x:c>
      <x:c r="L233" s="32" t="str">
        <x:v>Validación institucional</x:v>
      </x:c>
      <x:c r="M233" s="32" t="str">
        <x:v>Medio</x:v>
      </x:c>
      <x:c r="N233" s="32" t="str">
        <x:v>Catálogo institucional configurado; falta validación formal con el colegio</x:v>
      </x:c>
      <x:c r="O233" s="110" t="str">
        <x:v>2026-05-23</x:v>
      </x:c>
      <x:c r="P233" s="110" t="str">
        <x:v>Pendiente</x:v>
      </x:c>
    </x:row>
    <x:row r="234">
      <x:c r="A234" s="108" t="str">
        <x:v>INT-020 Validación con el Colegio Blenkir</x:v>
      </x:c>
      <x:c r="B234" s="32" t="str">
        <x:v>INT-020-BOLT-008</x:v>
      </x:c>
      <x:c r="C234" s="32" t="str">
        <x:v>Validar competencias y capacidades de Inicial</x:v>
      </x:c>
      <x:c r="D234" s="32" t="str">
        <x:v>Validación institucional</x:v>
      </x:c>
      <x:c r="E234" s="32" t="str">
        <x:v>Sí</x:v>
      </x:c>
      <x:c r="F234" s="32" t="str">
        <x:v>Mapeo_Competencias_Capacidades_Cursos_Inicial_SIDERAE_Blenkir.docx, backend/database/seeders/Curricular/CriteriosEvaluacionInicialSeeder.php, backend/database/seeders/Curricular/InicialIIBimestre2026Seeder.php</x:v>
      </x:c>
      <x:c r="G234" s="32" t="str">
        <x:v>Sí</x:v>
      </x:c>
      <x:c r="H234" s="32" t="str">
        <x:v>backend/tests/Feature/Seeders/CriteriosEvaluacionInicialSeederTest.php, backend/tests/Feature/Seeders/InicialIIBimestre2026SeederTest.php</x:v>
      </x:c>
      <x:c r="I234" s="32" t="str">
        <x:v>En proceso</x:v>
      </x:c>
      <x:c r="J234" s="32" t="str">
        <x:v>Alta</x:v>
      </x:c>
      <x:c r="K234" s="32" t="str">
        <x:v>Equipo SIDERAE</x:v>
      </x:c>
      <x:c r="L234" s="32" t="str">
        <x:v>Validación institucional</x:v>
      </x:c>
      <x:c r="M234" s="32" t="str">
        <x:v>Bajo</x:v>
      </x:c>
      <x:c r="N234" s="32" t="str">
        <x:v>Competencias y capacidades de Inicial documentadas y con seeders específicos; falta validación formal con docentes</x:v>
      </x:c>
      <x:c r="O234" s="110" t="str">
        <x:v>2026-05-27</x:v>
      </x:c>
      <x:c r="P234" s="110" t="str">
        <x:v>Pendiente</x:v>
      </x:c>
    </x:row>
    <x:row r="235">
      <x:c r="A235" s="108" t="str">
        <x:v>INT-020 Validación con el Colegio Blenkir</x:v>
      </x:c>
      <x:c r="B235" s="32" t="str">
        <x:v>INT-020-BOLT-009</x:v>
      </x:c>
      <x:c r="C235" s="32" t="str">
        <x:v>Identificar limitaciones del sistema actual</x:v>
      </x:c>
      <x:c r="D235" s="32" t="str">
        <x:v>Validación institucional</x:v>
      </x:c>
      <x:c r="E235" s="32" t="str">
        <x:v>Sí</x:v>
      </x:c>
      <x:c r="F235" s="32" t="str">
        <x:v>docs/limitaciones.md (19KB)</x:v>
      </x:c>
      <x:c r="G235" s="32" t="str">
        <x:v>No</x:v>
      </x:c>
      <x:c r="H235" s="32" t="str">
        <x:v>No aplica</x:v>
      </x:c>
      <x:c r="I235" s="32" t="str">
        <x:v>Completado</x:v>
      </x:c>
      <x:c r="J235" s="32" t="str">
        <x:v>Media</x:v>
      </x:c>
      <x:c r="K235" s="32" t="str">
        <x:v>Equipo SIDERAE</x:v>
      </x:c>
      <x:c r="L235" s="32" t="str">
        <x:v>Documentación</x:v>
      </x:c>
      <x:c r="M235" s="32" t="str">
        <x:v>Bajo</x:v>
      </x:c>
      <x:c r="N235" s="32" t="str">
        <x:v>Documento de limitaciones extenso de 19KB</x:v>
      </x:c>
      <x:c r="O235" s="110" t="str">
        <x:v>2026-05-15</x:v>
      </x:c>
      <x:c r="P235" s="110" t="str">
        <x:v>2026-05-20</x:v>
      </x:c>
    </x:row>
    <x:row r="236">
      <x:c r="A236" s="108" t="str">
        <x:v>INT-020 Validación con el Colegio Blenkir</x:v>
      </x:c>
      <x:c r="B236" s="32" t="str">
        <x:v>INT-020-BOLT-010</x:v>
      </x:c>
      <x:c r="C236" s="32" t="str">
        <x:v>Documentar necesidades detectadas</x:v>
      </x:c>
      <x:c r="D236" s="32" t="str">
        <x:v>Validación institucional</x:v>
      </x:c>
      <x:c r="E236" s="32" t="str">
        <x:v>Sí</x:v>
      </x:c>
      <x:c r="F236" s="32" t="str">
        <x:v>docs/drs/DRS_SIDERAE_Blenkir_v2.md, docs/pruebas/hallazgos-fase1-documentacion.md</x:v>
      </x:c>
      <x:c r="G236" s="32" t="str">
        <x:v>No</x:v>
      </x:c>
      <x:c r="H236" s="32" t="str">
        <x:v>No aplica</x:v>
      </x:c>
      <x:c r="I236" s="32" t="str">
        <x:v>En proceso</x:v>
      </x:c>
      <x:c r="J236" s="32" t="str">
        <x:v>Media</x:v>
      </x:c>
      <x:c r="K236" s="32" t="str">
        <x:v>Equipo SIDERAE</x:v>
      </x:c>
      <x:c r="L236" s="32" t="str">
        <x:v>Documentación</x:v>
      </x:c>
      <x:c r="M236" s="32" t="str">
        <x:v>Bajo</x:v>
      </x:c>
      <x:c r="N236" s="32" t="str">
        <x:v>Necesidades parcialmente documentadas en DRS y hallazgos de fase 1</x:v>
      </x:c>
      <x:c r="O236" s="110" t="str">
        <x:v>2026-06-01</x:v>
      </x:c>
      <x:c r="P236" s="110" t="str">
        <x:v>Pendiente</x:v>
      </x:c>
    </x:row>
    <x:row r="237">
      <x:c r="A237" s="108" t="str">
        <x:v>INT-020 Validación con el Colegio Blenkir</x:v>
      </x:c>
      <x:c r="B237" s="32" t="str">
        <x:v>INT-020-BOLT-011</x:v>
      </x:c>
      <x:c r="C237" s="32" t="str">
        <x:v>Ajustar propuesta SIDERAE según hallazgos</x:v>
      </x:c>
      <x:c r="D237" s="32" t="str">
        <x:v>Validación institucional</x:v>
      </x:c>
      <x:c r="E237" s="32" t="str">
        <x:v>Sí</x:v>
      </x:c>
      <x:c r="F237" s="32" t="str">
        <x:v>sprints/ (20 archivos de sprint documentando ajustes iterativos)</x:v>
      </x:c>
      <x:c r="G237" s="32" t="str">
        <x:v>No</x:v>
      </x:c>
      <x:c r="H237" s="32" t="str">
        <x:v>No aplica</x:v>
      </x:c>
      <x:c r="I237" s="32" t="str">
        <x:v>En proceso</x:v>
      </x:c>
      <x:c r="J237" s="32" t="str">
        <x:v>Alta</x:v>
      </x:c>
      <x:c r="K237" s="32" t="str">
        <x:v>Equipo SIDERAE</x:v>
      </x:c>
      <x:c r="L237" s="32" t="str">
        <x:v>Integración</x:v>
      </x:c>
      <x:c r="M237" s="32" t="str">
        <x:v>Bajo</x:v>
      </x:c>
      <x:c r="N237" s="32" t="str">
        <x:v>Ajustes documentados en 20 sprints iterativos</x:v>
      </x:c>
      <x:c r="O237" s="110" t="str">
        <x:v>2026-06-01</x:v>
      </x:c>
      <x:c r="P237" s="110" t="str">
        <x:v>Pendiente</x:v>
      </x:c>
    </x:row>
    <x:row r="238">
      <x:c r="A238" s="108" t="str">
        <x:v>INT-020 Validación con el Colegio Blenkir</x:v>
      </x:c>
      <x:c r="B238" s="32" t="str">
        <x:v>INT-020-BOLT-012</x:v>
      </x:c>
      <x:c r="C238" s="32" t="str">
        <x:v>Preparar presentación para director o docente</x:v>
      </x:c>
      <x:c r="D238" s="32" t="str">
        <x:v>Validación institucional</x:v>
      </x:c>
      <x:c r="E238" s="32" t="str">
        <x:v>No</x:v>
      </x:c>
      <x:c r="F238" s="32" t="str">
        <x:v>Pendiente de adjuntar</x:v>
      </x:c>
      <x:c r="G238" s="32" t="str">
        <x:v>No</x:v>
      </x:c>
      <x:c r="H238" s="32" t="str">
        <x:v>No aplica</x:v>
      </x:c>
      <x:c r="I238" s="32" t="str">
        <x:v>Pendiente</x:v>
      </x:c>
      <x:c r="J238" s="32" t="str">
        <x:v>Alta</x:v>
      </x:c>
      <x:c r="K238" s="32" t="str">
        <x:v>Equipo SIDERAE</x:v>
      </x:c>
      <x:c r="L238" s="32" t="str">
        <x:v>Documentación</x:v>
      </x:c>
      <x:c r="M238" s="32" t="str">
        <x:v>Medio</x:v>
      </x:c>
      <x:c r="N238" s="32" t="str">
        <x:v>Presentación formal para el colegio pendiente de elaboración</x:v>
      </x:c>
      <x:c r="O238" s="110" t="str">
        <x:v>2026-07-15</x:v>
      </x:c>
      <x:c r="P238" s="110" t="str">
        <x:v>Pendiente</x:v>
      </x:c>
    </x:row>
  </x:sheetData>
  <x:mergeCells>
    <x:mergeCell ref="A1:P1"/>
    <x:mergeCell ref="A2:P2"/>
    <x:mergeCell ref="A3:P3"/>
  </x:mergeCells>
  <x:conditionalFormatting sqref="I5:I238">
    <x:cfRule type="expression" dxfId="0" priority="1">
      <x:formula>I5="Completado"</x:formula>
    </x:cfRule>
    <x:cfRule type="expression" dxfId="1" priority="2">
      <x:formula>I5="En proceso"</x:formula>
    </x:cfRule>
    <x:cfRule type="expression" dxfId="2" priority="3">
      <x:formula>I5="Pendiente"</x:formula>
    </x:cfRule>
    <x:cfRule type="expression" dxfId="3" priority="4">
      <x:formula>I5="Observado"</x:formula>
    </x:cfRule>
    <x:cfRule type="expression" dxfId="4" priority="5">
      <x:formula>I5="No implementado"</x:formula>
    </x:cfRule>
    <x:cfRule type="expression" dxfId="5" priority="6">
      <x:formula>I5="No aplica"</x:formula>
    </x:cfRule>
  </x:conditionalFormatting>
  <x:conditionalFormatting sqref="A5:P238">
    <x:cfRule type="expression" dxfId="6" priority="7">
      <x:formula>$I5="Observado"</x:formula>
    </x:cfRule>
    <x:cfRule type="expression" dxfId="7" priority="8">
      <x:formula>$I5="Pendiente"</x:formula>
    </x:cfRule>
    <x:cfRule type="expression" dxfId="8" priority="9">
      <x:formula>$E5="No"</x:formula>
    </x:cfRule>
  </x:conditionalFormatting>
  <x:dataValidations count="7">
    <x:dataValidation type="list" sqref="E5:E238">
      <x:formula1>"Sí,No,No aplica"</x:formula1>
    </x:dataValidation>
    <x:dataValidation type="list" sqref="G5:G238">
      <x:formula1>"Sí,No,No aplica"</x:formula1>
    </x:dataValidation>
    <x:dataValidation type="list" sqref="I5:I238">
      <x:formula1>"Completado,En proceso,Pendiente,Observado,No implementado,No aplica"</x:formula1>
    </x:dataValidation>
    <x:dataValidation type="list" sqref="J5:J238">
      <x:formula1>"Alta,Media,Baja"</x:formula1>
    </x:dataValidation>
    <x:dataValidation type="list" sqref="M5:M238">
      <x:formula1>"Bajo,Medio,Alto"</x:formula1>
    </x:dataValidation>
    <x:dataValidation type="list" sqref="L5:L238">
      <x:formula1>"Backend,Frontend,Base de datos,ML,Documentación,Pruebas,DevOps,Seguridad,Reportes,Integración,Validación institucional"</x:formula1>
    </x:dataValidation>
    <x:dataValidation type="list" sqref="K5:K238">
      <x:formula1>"Diego Ricardo Carhuamaca Vasquez,Ernesto Marcial Constantino Chuchon Sotelo,Equipo SIDERAE"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4b095f5617437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18" hidden="0" customWidth="1"/>
    <x:col min="4" max="4" width="24" hidden="0" customWidth="1"/>
    <x:col min="5" max="5" width="1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</x:cols>
  <x:sheetData>
    <x:row r="1" ht="26" customHeight="1">
      <x:c r="A1" s="128" t="str">
        <x:v>SIDERAE-Blenkir — Panel Resumen de Matriz Bolts</x:v>
      </x:c>
      <x:c r="B1" s="128"/>
      <x:c r="C1" s="128"/>
      <x:c r="D1" s="128"/>
      <x:c r="E1" s="128"/>
      <x:c r="F1" s="128"/>
      <x:c r="G1" s="128"/>
      <x:c r="H1" s="128"/>
      <x:c r="I1" s="117"/>
      <x:c r="J1" s="117"/>
      <x:c r="K1" s="117"/>
    </x:row>
    <x:row r="2" ht="22" customHeight="1">
      <x:c r="A2" s="118" t="str">
        <x:v>Revisión generada: 23/06/2026 20:09 | Datos desde hoja Bolts | Fórmulas actualizables</x:v>
      </x:c>
      <x:c r="B2" s="118"/>
      <x:c r="C2" s="118"/>
      <x:c r="D2" s="118"/>
      <x:c r="E2" s="118"/>
      <x:c r="F2" s="118"/>
      <x:c r="G2" s="118"/>
      <x:c r="H2" s="118"/>
      <x:c r="I2" s="117"/>
      <x:c r="J2" s="117"/>
      <x:c r="K2" s="117"/>
    </x:row>
    <x:row r="3">
      <x:c r="A3" s="117"/>
      <x:c r="B3" s="117"/>
      <x:c r="C3" s="117"/>
      <x:c r="D3" s="117"/>
      <x:c r="E3" s="117"/>
      <x:c r="F3" s="117"/>
      <x:c r="G3" s="117"/>
      <x:c r="H3" s="117"/>
      <x:c r="I3" s="117"/>
      <x:c r="J3" s="117"/>
      <x:c r="K3" s="117"/>
    </x:row>
    <x:row r="4">
      <x:c r="A4" s="130" t="str">
        <x:v>Indicador</x:v>
      </x:c>
      <x:c r="B4" s="130" t="str">
        <x:v>Valor</x:v>
      </x:c>
      <x:c r="C4" s="130" t="str">
        <x:v>Detalle</x:v>
      </x:c>
      <x:c r="D4" s="130" t="str"/>
      <x:c r="E4" s="120"/>
      <x:c r="F4" s="130" t="str">
        <x:v>Estado</x:v>
      </x:c>
      <x:c r="G4" s="130" t="str">
        <x:v>Cantidad</x:v>
      </x:c>
      <x:c r="H4" s="120"/>
      <x:c r="I4" s="120"/>
      <x:c r="J4" s="120"/>
      <x:c r="K4" s="117"/>
    </x:row>
    <x:row r="5">
      <x:c r="A5" s="120" t="str">
        <x:v>Total de Bolts</x:v>
      </x:c>
      <x:c r="B5" s="120" t="n">
        <x:f>COUNTA(Bolts!$B$5:$B$238)</x:f>
        <x:v>234</x:v>
      </x:c>
      <x:c r="C5" s="120" t="str">
        <x:v>Cantidad total de tareas registradas</x:v>
      </x:c>
      <x:c r="D5" s="120" t="str"/>
      <x:c r="E5" s="120"/>
      <x:c r="F5" s="120" t="str">
        <x:v>Completado</x:v>
      </x:c>
      <x:c r="G5" s="120" t="n">
        <x:f>COUNTIF(Bolts!$I$5:$I$238,"Completado")</x:f>
        <x:v>146</x:v>
      </x:c>
      <x:c r="H5" s="120"/>
      <x:c r="I5" s="120"/>
      <x:c r="J5" s="120"/>
      <x:c r="K5" s="117"/>
    </x:row>
    <x:row r="6">
      <x:c r="A6" s="120" t="str">
        <x:v>Completados</x:v>
      </x:c>
      <x:c r="B6" s="120" t="n">
        <x:f>COUNTIF(Bolts!$I$5:$I$238,"Completado")</x:f>
        <x:v>146</x:v>
      </x:c>
      <x:c r="C6" s="120" t="str">
        <x:v>Bolts cerrados sin observación</x:v>
      </x:c>
      <x:c r="D6" s="120" t="str"/>
      <x:c r="E6" s="120"/>
      <x:c r="F6" s="120" t="str">
        <x:v>En proceso</x:v>
      </x:c>
      <x:c r="G6" s="120" t="n">
        <x:f>COUNTIF(Bolts!$I$5:$I$238,"En proceso")</x:f>
        <x:v>47</x:v>
      </x:c>
      <x:c r="H6" s="120"/>
      <x:c r="I6" s="120"/>
      <x:c r="J6" s="120"/>
      <x:c r="K6" s="117"/>
    </x:row>
    <x:row r="7">
      <x:c r="A7" s="120" t="str">
        <x:v>En proceso</x:v>
      </x:c>
      <x:c r="B7" s="120" t="n">
        <x:f>COUNTIF(Bolts!$I$5:$I$238,"En proceso")</x:f>
        <x:v>47</x:v>
      </x:c>
      <x:c r="C7" s="120" t="str">
        <x:v>Bolts en avance</x:v>
      </x:c>
      <x:c r="D7" s="120" t="str"/>
      <x:c r="E7" s="120"/>
      <x:c r="F7" s="120" t="str">
        <x:v>Pendiente</x:v>
      </x:c>
      <x:c r="G7" s="120" t="n">
        <x:f>COUNTIF(Bolts!$I$5:$I$238,"Pendiente")</x:f>
        <x:v>32</x:v>
      </x:c>
      <x:c r="H7" s="120"/>
      <x:c r="I7" s="120"/>
      <x:c r="J7" s="120"/>
      <x:c r="K7" s="117"/>
    </x:row>
    <x:row r="8">
      <x:c r="A8" s="120" t="str">
        <x:v>Pendientes</x:v>
      </x:c>
      <x:c r="B8" s="120" t="n">
        <x:f>COUNTIF(Bolts!$I$5:$I$238,"Pendiente")</x:f>
        <x:v>32</x:v>
      </x:c>
      <x:c r="C8" s="120" t="str">
        <x:v>Bolts por iniciar o sin evidencia</x:v>
      </x:c>
      <x:c r="D8" s="120" t="str"/>
      <x:c r="E8" s="120"/>
      <x:c r="F8" s="120" t="str">
        <x:v>Observado</x:v>
      </x:c>
      <x:c r="G8" s="120" t="n">
        <x:f>COUNTIF(Bolts!$I$5:$I$238,"Observado")</x:f>
        <x:v>9</x:v>
      </x:c>
      <x:c r="H8" s="120"/>
      <x:c r="I8" s="120"/>
      <x:c r="J8" s="120"/>
      <x:c r="K8" s="117"/>
    </x:row>
    <x:row r="9">
      <x:c r="A9" s="120" t="str">
        <x:v>Observados</x:v>
      </x:c>
      <x:c r="B9" s="120" t="n">
        <x:f>COUNTIF(Bolts!$I$5:$I$238,"Observado")</x:f>
        <x:v>9</x:v>
      </x:c>
      <x:c r="C9" s="120" t="str">
        <x:v>Bolts con inconsistencias de evidencia o pruebas</x:v>
      </x:c>
      <x:c r="D9" s="120" t="str"/>
      <x:c r="E9" s="120"/>
      <x:c r="F9" s="120" t="str">
        <x:v>No implementado</x:v>
      </x:c>
      <x:c r="G9" s="120" t="n">
        <x:f>COUNTIF(Bolts!$I$5:$I$238,"No implementado")</x:f>
        <x:v>0</x:v>
      </x:c>
      <x:c r="H9" s="120"/>
      <x:c r="I9" s="120"/>
      <x:c r="J9" s="120"/>
      <x:c r="K9" s="117"/>
    </x:row>
    <x:row r="10">
      <x:c r="A10" s="120" t="str">
        <x:v>No implementados</x:v>
      </x:c>
      <x:c r="B10" s="120" t="n">
        <x:f>COUNTIF(Bolts!$I$5:$I$238,"No implementado")</x:f>
        <x:v>0</x:v>
      </x:c>
      <x:c r="C10" s="120" t="str">
        <x:v>Bolts descartados o no desarrollados</x:v>
      </x:c>
      <x:c r="D10" s="120" t="str"/>
      <x:c r="E10" s="120"/>
      <x:c r="F10" s="120"/>
      <x:c r="G10" s="120"/>
      <x:c r="H10" s="120"/>
      <x:c r="I10" s="120"/>
      <x:c r="J10" s="120"/>
      <x:c r="K10" s="117"/>
    </x:row>
    <x:row r="11">
      <x:c r="A11" s="120" t="str">
        <x:v>% de avance</x:v>
      </x:c>
      <x:c r="B11" s="121" t="n">
        <x:f>IFERROR(B6/B5,0)</x:f>
        <x:v>0.6239316239316239</x:v>
      </x:c>
      <x:c r="C11" s="120" t="str">
        <x:v>Completados / Total</x:v>
      </x:c>
      <x:c r="D11" s="120" t="str"/>
      <x:c r="E11" s="120"/>
      <x:c r="F11" s="120"/>
      <x:c r="G11" s="120"/>
      <x:c r="H11" s="120"/>
      <x:c r="I11" s="120"/>
      <x:c r="J11" s="120"/>
      <x:c r="K11" s="117"/>
    </x:row>
    <x:row r="12">
      <x:c r="A12" s="120"/>
      <x:c r="B12" s="120"/>
      <x:c r="C12" s="120"/>
      <x:c r="D12" s="120"/>
      <x:c r="E12" s="120"/>
      <x:c r="F12" s="120"/>
      <x:c r="G12" s="120"/>
      <x:c r="H12" s="120"/>
      <x:c r="I12" s="120"/>
      <x:c r="J12" s="120"/>
      <x:c r="K12" s="117"/>
    </x:row>
    <x:row r="13">
      <x:c r="A13" s="130" t="str">
        <x:v>Prioridad</x:v>
      </x:c>
      <x:c r="B13" s="130" t="str">
        <x:v>Cantidad</x:v>
      </x:c>
      <x:c r="C13" s="120"/>
      <x:c r="D13" s="130" t="str">
        <x:v>Evidencia / Pruebas</x:v>
      </x:c>
      <x:c r="E13" s="130" t="str">
        <x:v>Cantidad</x:v>
      </x:c>
      <x:c r="F13" s="120"/>
      <x:c r="G13" s="120"/>
      <x:c r="H13" s="120"/>
      <x:c r="I13" s="120"/>
      <x:c r="J13" s="120"/>
      <x:c r="K13" s="117"/>
    </x:row>
    <x:row r="14">
      <x:c r="A14" s="120" t="str">
        <x:v>Alta</x:v>
      </x:c>
      <x:c r="B14" s="120" t="n">
        <x:f>COUNTIF(Bolts!$J$5:$J$238,"Alta")</x:f>
        <x:v>169</x:v>
      </x:c>
      <x:c r="C14" s="120"/>
      <x:c r="D14" s="120" t="str">
        <x:v>Con implementación registrada</x:v>
      </x:c>
      <x:c r="E14" s="120" t="n">
        <x:f>COUNTIF(Bolts!$E$5:$E$238,"Sí")</x:f>
        <x:v>201</x:v>
      </x:c>
      <x:c r="F14" s="120"/>
      <x:c r="G14" s="120"/>
      <x:c r="H14" s="120"/>
      <x:c r="I14" s="120"/>
      <x:c r="J14" s="120"/>
      <x:c r="K14" s="117"/>
    </x:row>
    <x:row r="15">
      <x:c r="A15" s="120" t="str">
        <x:v>Media</x:v>
      </x:c>
      <x:c r="B15" s="120" t="n">
        <x:f>COUNTIF(Bolts!$J$5:$J$238,"Media")</x:f>
        <x:v>64</x:v>
      </x:c>
      <x:c r="C15" s="120"/>
      <x:c r="D15" s="120" t="str">
        <x:v>Sin implementación registrada</x:v>
      </x:c>
      <x:c r="E15" s="120" t="n">
        <x:f>COUNTIF(Bolts!$E$5:$E$238,"No")</x:f>
        <x:v>33</x:v>
      </x:c>
      <x:c r="F15" s="120"/>
      <x:c r="G15" s="120"/>
      <x:c r="H15" s="120"/>
      <x:c r="I15" s="120"/>
      <x:c r="J15" s="120"/>
      <x:c r="K15" s="117"/>
    </x:row>
    <x:row r="16">
      <x:c r="A16" s="120" t="str">
        <x:v>Baja</x:v>
      </x:c>
      <x:c r="B16" s="120" t="n">
        <x:f>COUNTIF(Bolts!$J$5:$J$238,"Baja")</x:f>
        <x:v>1</x:v>
      </x:c>
      <x:c r="C16" s="120"/>
      <x:c r="D16" s="120" t="str">
        <x:v>Con pruebas ejecutadas</x:v>
      </x:c>
      <x:c r="E16" s="120" t="n">
        <x:f>COUNTIF(Bolts!$G$5:$G$238,"Sí")</x:f>
        <x:v>146</x:v>
      </x:c>
      <x:c r="F16" s="120"/>
      <x:c r="G16" s="120"/>
      <x:c r="H16" s="120"/>
      <x:c r="I16" s="120"/>
      <x:c r="J16" s="120"/>
      <x:c r="K16" s="117"/>
    </x:row>
    <x:row r="17">
      <x:c r="A17" s="120"/>
      <x:c r="B17" s="120"/>
      <x:c r="C17" s="120"/>
      <x:c r="D17" s="120" t="str">
        <x:v>Sin pruebas ejecutadas</x:v>
      </x:c>
      <x:c r="E17" s="120" t="n">
        <x:f>COUNTIF(Bolts!$G$5:$G$238,"No")</x:f>
        <x:v>88</x:v>
      </x:c>
      <x:c r="F17" s="120"/>
      <x:c r="G17" s="120"/>
      <x:c r="H17" s="120"/>
      <x:c r="I17" s="120"/>
      <x:c r="J17" s="120"/>
      <x:c r="K17" s="117"/>
    </x:row>
    <x:row r="18">
      <x:c r="A18" s="120"/>
      <x:c r="B18" s="120"/>
      <x:c r="C18" s="120"/>
      <x:c r="D18" s="120"/>
      <x:c r="E18" s="120"/>
      <x:c r="F18" s="120"/>
      <x:c r="G18" s="120"/>
      <x:c r="H18" s="120"/>
      <x:c r="I18" s="120"/>
      <x:c r="J18" s="120"/>
      <x:c r="K18" s="117"/>
    </x:row>
    <x:row r="19">
      <x:c r="A19" s="120"/>
      <x:c r="B19" s="120"/>
      <x:c r="C19" s="120"/>
      <x:c r="D19" s="120"/>
      <x:c r="E19" s="120"/>
      <x:c r="F19" s="120"/>
      <x:c r="G19" s="120"/>
      <x:c r="H19" s="120"/>
      <x:c r="I19" s="120"/>
      <x:c r="J19" s="120"/>
      <x:c r="K19" s="117"/>
    </x:row>
    <x:row r="20">
      <x:c r="A20" s="130" t="str">
        <x:v>Intent</x:v>
      </x:c>
      <x:c r="B20" s="130" t="str">
        <x:v>Total</x:v>
      </x:c>
      <x:c r="C20" s="130" t="str">
        <x:v>Completados</x:v>
      </x:c>
      <x:c r="D20" s="130" t="str">
        <x:v>Pendientes/Observados</x:v>
      </x:c>
      <x:c r="E20" s="130" t="str">
        <x:v>% Avance</x:v>
      </x:c>
      <x:c r="F20" s="120"/>
      <x:c r="G20" s="130" t="str">
        <x:v>Responsable</x:v>
      </x:c>
      <x:c r="H20" s="130" t="str">
        <x:v>Total</x:v>
      </x:c>
      <x:c r="I20" s="130" t="str">
        <x:v>Completados</x:v>
      </x:c>
      <x:c r="J20" s="130" t="str">
        <x:v>% Avance</x:v>
      </x:c>
      <x:c r="K20" s="117"/>
    </x:row>
    <x:row r="21">
      <x:c r="A21" s="120" t="str">
        <x:v>INT-001 Configurar base del proyecto y entorno</x:v>
      </x:c>
      <x:c r="B21" s="120" t="n">
        <x:f>COUNTIF(Bolts!$A$5:$A$238,A21)</x:f>
        <x:v>8</x:v>
      </x:c>
      <x:c r="C21" s="120" t="n">
        <x:f>COUNTIFS(Bolts!$A$5:$A$238,A21,Bolts!$I$5:$I$238,"Completado")</x:f>
        <x:v>6</x:v>
      </x:c>
      <x:c r="D21" s="120" t="n">
        <x:f>COUNTIFS(Bolts!$A$5:$A$238,A21,Bolts!$I$5:$I$238,"Pendiente")+COUNTIFS(Bolts!$A$5:$A$238,A21,Bolts!$I$5:$I$238,"Observado")+COUNTIFS(Bolts!$A$5:$A$238,A21,Bolts!$I$5:$I$238,"No implementado")</x:f>
        <x:v>1</x:v>
      </x:c>
      <x:c r="E21" s="121" t="n">
        <x:f>IFERROR(C21/B21,0)</x:f>
        <x:v>0.75</x:v>
      </x:c>
      <x:c r="F21" s="120"/>
      <x:c r="G21" s="120" t="str">
        <x:v>Diego Ricardo Carhuamaca Vasquez</x:v>
      </x:c>
      <x:c r="H21" s="120" t="n">
        <x:f>COUNTIF(Bolts!$K$5:$K$238,G21)</x:f>
        <x:v>45</x:v>
      </x:c>
      <x:c r="I21" s="120" t="n">
        <x:f>COUNTIFS(Bolts!$K$5:$K$238,G21,Bolts!$I$5:$I$238,"Completado")</x:f>
        <x:v>19</x:v>
      </x:c>
      <x:c r="J21" s="121" t="n">
        <x:f>IFERROR(I21/H21,0)</x:f>
        <x:v>0.4222222222222222</x:v>
      </x:c>
      <x:c r="K21" s="117"/>
    </x:row>
    <x:row r="22">
      <x:c r="A22" s="120" t="str">
        <x:v>INT-002 Autenticación, usuarios y roles</x:v>
      </x:c>
      <x:c r="B22" s="120" t="n">
        <x:f>COUNTIF(Bolts!$A$5:$A$238,A22)</x:f>
        <x:v>11</x:v>
      </x:c>
      <x:c r="C22" s="120" t="n">
        <x:f>COUNTIFS(Bolts!$A$5:$A$238,A22,Bolts!$I$5:$I$238,"Completado")</x:f>
        <x:v>9</x:v>
      </x:c>
      <x:c r="D22" s="120" t="n">
        <x:f>COUNTIFS(Bolts!$A$5:$A$238,A22,Bolts!$I$5:$I$238,"Pendiente")+COUNTIFS(Bolts!$A$5:$A$238,A22,Bolts!$I$5:$I$238,"Observado")+COUNTIFS(Bolts!$A$5:$A$238,A22,Bolts!$I$5:$I$238,"No implementado")</x:f>
        <x:v>1</x:v>
      </x:c>
      <x:c r="E22" s="121" t="n">
        <x:f>IFERROR(C22/B22,0)</x:f>
        <x:v>0.8181818181818182</x:v>
      </x:c>
      <x:c r="F22" s="120"/>
      <x:c r="G22" s="120" t="str">
        <x:v>Ernesto Marcial Constantino Chuchon Sotelo</x:v>
      </x:c>
      <x:c r="H22" s="120" t="n">
        <x:f>COUNTIF(Bolts!$K$5:$K$238,G22)</x:f>
        <x:v>130</x:v>
      </x:c>
      <x:c r="I22" s="120" t="n">
        <x:f>COUNTIFS(Bolts!$K$5:$K$238,G22,Bolts!$I$5:$I$238,"Completado")</x:f>
        <x:v>98</x:v>
      </x:c>
      <x:c r="J22" s="121" t="n">
        <x:f>IFERROR(I22/H22,0)</x:f>
        <x:v>0.7538461538461538</x:v>
      </x:c>
      <x:c r="K22" s="117"/>
    </x:row>
    <x:row r="23">
      <x:c r="A23" s="120" t="str">
        <x:v>INT-003 Gestión de estudiantes</x:v>
      </x:c>
      <x:c r="B23" s="120" t="n">
        <x:f>COUNTIF(Bolts!$A$5:$A$238,A23)</x:f>
        <x:v>10</x:v>
      </x:c>
      <x:c r="C23" s="120" t="n">
        <x:f>COUNTIFS(Bolts!$A$5:$A$238,A23,Bolts!$I$5:$I$238,"Completado")</x:f>
        <x:v>8</x:v>
      </x:c>
      <x:c r="D23" s="120" t="n">
        <x:f>COUNTIFS(Bolts!$A$5:$A$238,A23,Bolts!$I$5:$I$238,"Pendiente")+COUNTIFS(Bolts!$A$5:$A$238,A23,Bolts!$I$5:$I$238,"Observado")+COUNTIFS(Bolts!$A$5:$A$238,A23,Bolts!$I$5:$I$238,"No implementado")</x:f>
        <x:v>1</x:v>
      </x:c>
      <x:c r="E23" s="121" t="n">
        <x:f>IFERROR(C23/B23,0)</x:f>
        <x:v>0.8</x:v>
      </x:c>
      <x:c r="F23" s="120"/>
      <x:c r="G23" s="120" t="str">
        <x:v>Equipo SIDERAE</x:v>
      </x:c>
      <x:c r="H23" s="120" t="n">
        <x:f>COUNTIF(Bolts!$K$5:$K$238,G23)</x:f>
        <x:v>59</x:v>
      </x:c>
      <x:c r="I23" s="120" t="n">
        <x:f>COUNTIFS(Bolts!$K$5:$K$238,G23,Bolts!$I$5:$I$238,"Completado")</x:f>
        <x:v>29</x:v>
      </x:c>
      <x:c r="J23" s="121" t="n">
        <x:f>IFERROR(I23/H23,0)</x:f>
        <x:v>0.4915254237288136</x:v>
      </x:c>
      <x:c r="K23" s="117"/>
    </x:row>
    <x:row r="24">
      <x:c r="A24" s="120" t="str">
        <x:v>INT-004 Configuración académica por nivel y grado</x:v>
      </x:c>
      <x:c r="B24" s="120" t="n">
        <x:f>COUNTIF(Bolts!$A$5:$A$238,A24)</x:f>
        <x:v>19</x:v>
      </x:c>
      <x:c r="C24" s="120" t="n">
        <x:f>COUNTIFS(Bolts!$A$5:$A$238,A24,Bolts!$I$5:$I$238,"Completado")</x:f>
        <x:v>18</x:v>
      </x:c>
      <x:c r="D24" s="120" t="n">
        <x:f>COUNTIFS(Bolts!$A$5:$A$238,A24,Bolts!$I$5:$I$238,"Pendiente")+COUNTIFS(Bolts!$A$5:$A$238,A24,Bolts!$I$5:$I$238,"Observado")+COUNTIFS(Bolts!$A$5:$A$238,A24,Bolts!$I$5:$I$238,"No implementado")</x:f>
        <x:v>0</x:v>
      </x:c>
      <x:c r="E24" s="121" t="n">
        <x:f>IFERROR(C24/B24,0)</x:f>
        <x:v>0.9473684210526315</x:v>
      </x:c>
      <x:c r="F24" s="120"/>
      <x:c r="G24" s="120"/>
      <x:c r="H24" s="120"/>
      <x:c r="I24" s="120"/>
      <x:c r="J24" s="120"/>
      <x:c r="K24" s="117"/>
    </x:row>
    <x:row r="25">
      <x:c r="A25" s="120" t="str">
        <x:v>INT-005 Registro de notas</x:v>
      </x:c>
      <x:c r="B25" s="120" t="n">
        <x:f>COUNTIF(Bolts!$A$5:$A$238,A25)</x:f>
        <x:v>16</x:v>
      </x:c>
      <x:c r="C25" s="120" t="n">
        <x:f>COUNTIFS(Bolts!$A$5:$A$238,A25,Bolts!$I$5:$I$238,"Completado")</x:f>
        <x:v>12</x:v>
      </x:c>
      <x:c r="D25" s="120" t="n">
        <x:f>COUNTIFS(Bolts!$A$5:$A$238,A25,Bolts!$I$5:$I$238,"Pendiente")+COUNTIFS(Bolts!$A$5:$A$238,A25,Bolts!$I$5:$I$238,"Observado")+COUNTIFS(Bolts!$A$5:$A$238,A25,Bolts!$I$5:$I$238,"No implementado")</x:f>
        <x:v>1</x:v>
      </x:c>
      <x:c r="E25" s="121" t="n">
        <x:f>IFERROR(C25/B25,0)</x:f>
        <x:v>0.75</x:v>
      </x:c>
      <x:c r="F25" s="120"/>
      <x:c r="G25" s="120"/>
      <x:c r="H25" s="120"/>
      <x:c r="I25" s="120"/>
      <x:c r="J25" s="120"/>
      <x:c r="K25" s="117"/>
    </x:row>
    <x:row r="26">
      <x:c r="A26" s="120" t="str">
        <x:v>INT-006 Importación de plantillas Excel</x:v>
      </x:c>
      <x:c r="B26" s="120" t="n">
        <x:f>COUNTIF(Bolts!$A$5:$A$238,A26)</x:f>
        <x:v>14</x:v>
      </x:c>
      <x:c r="C26" s="120" t="n">
        <x:f>COUNTIFS(Bolts!$A$5:$A$238,A26,Bolts!$I$5:$I$238,"Completado")</x:f>
        <x:v>5</x:v>
      </x:c>
      <x:c r="D26" s="120" t="n">
        <x:f>COUNTIFS(Bolts!$A$5:$A$238,A26,Bolts!$I$5:$I$238,"Pendiente")+COUNTIFS(Bolts!$A$5:$A$238,A26,Bolts!$I$5:$I$238,"Observado")+COUNTIFS(Bolts!$A$5:$A$238,A26,Bolts!$I$5:$I$238,"No implementado")</x:f>
        <x:v>6</x:v>
      </x:c>
      <x:c r="E26" s="121" t="n">
        <x:f>IFERROR(C26/B26,0)</x:f>
        <x:v>0.35714285714285715</x:v>
      </x:c>
      <x:c r="F26" s="120"/>
      <x:c r="G26" s="120"/>
      <x:c r="H26" s="120"/>
      <x:c r="I26" s="120"/>
      <x:c r="J26" s="120"/>
      <x:c r="K26" s="117"/>
    </x:row>
    <x:row r="27">
      <x:c r="A27" s="120" t="str">
        <x:v>INT-007 Registro de asistencia</x:v>
      </x:c>
      <x:c r="B27" s="120" t="n">
        <x:f>COUNTIF(Bolts!$A$5:$A$238,A27)</x:f>
        <x:v>11</x:v>
      </x:c>
      <x:c r="C27" s="120" t="n">
        <x:f>COUNTIFS(Bolts!$A$5:$A$238,A27,Bolts!$I$5:$I$238,"Completado")</x:f>
        <x:v>7</x:v>
      </x:c>
      <x:c r="D27" s="120" t="n">
        <x:f>COUNTIFS(Bolts!$A$5:$A$238,A27,Bolts!$I$5:$I$238,"Pendiente")+COUNTIFS(Bolts!$A$5:$A$238,A27,Bolts!$I$5:$I$238,"Observado")+COUNTIFS(Bolts!$A$5:$A$238,A27,Bolts!$I$5:$I$238,"No implementado")</x:f>
        <x:v>2</x:v>
      </x:c>
      <x:c r="E27" s="121" t="n">
        <x:f>IFERROR(C27/B27,0)</x:f>
        <x:v>0.6363636363636364</x:v>
      </x:c>
      <x:c r="F27" s="120"/>
      <x:c r="G27" s="120"/>
      <x:c r="H27" s="120"/>
      <x:c r="I27" s="120"/>
      <x:c r="J27" s="120"/>
      <x:c r="K27" s="117"/>
    </x:row>
    <x:row r="28">
      <x:c r="A28" s="120" t="str">
        <x:v>INT-008 ETA / Fast Test</x:v>
      </x:c>
      <x:c r="B28" s="120" t="n">
        <x:f>COUNTIF(Bolts!$A$5:$A$238,A28)</x:f>
        <x:v>9</x:v>
      </x:c>
      <x:c r="C28" s="120" t="n">
        <x:f>COUNTIFS(Bolts!$A$5:$A$238,A28,Bolts!$I$5:$I$238,"Completado")</x:f>
        <x:v>7</x:v>
      </x:c>
      <x:c r="D28" s="120" t="n">
        <x:f>COUNTIFS(Bolts!$A$5:$A$238,A28,Bolts!$I$5:$I$238,"Pendiente")+COUNTIFS(Bolts!$A$5:$A$238,A28,Bolts!$I$5:$I$238,"Observado")+COUNTIFS(Bolts!$A$5:$A$238,A28,Bolts!$I$5:$I$238,"No implementado")</x:f>
        <x:v>2</x:v>
      </x:c>
      <x:c r="E28" s="121" t="n">
        <x:f>IFERROR(C28/B28,0)</x:f>
        <x:v>0.7777777777777778</x:v>
      </x:c>
      <x:c r="F28" s="120"/>
      <x:c r="G28" s="120"/>
      <x:c r="H28" s="120"/>
      <x:c r="I28" s="120"/>
      <x:c r="J28" s="120"/>
      <x:c r="K28" s="117"/>
    </x:row>
    <x:row r="29">
      <x:c r="A29" s="120" t="str">
        <x:v>INT-009 Reportes conductuales y tutoría</x:v>
      </x:c>
      <x:c r="B29" s="120" t="n">
        <x:f>COUNTIF(Bolts!$A$5:$A$238,A29)</x:f>
        <x:v>8</x:v>
      </x:c>
      <x:c r="C29" s="120" t="n">
        <x:f>COUNTIFS(Bolts!$A$5:$A$238,A29,Bolts!$I$5:$I$238,"Completado")</x:f>
        <x:v>1</x:v>
      </x:c>
      <x:c r="D29" s="120" t="n">
        <x:f>COUNTIFS(Bolts!$A$5:$A$238,A29,Bolts!$I$5:$I$238,"Pendiente")+COUNTIFS(Bolts!$A$5:$A$238,A29,Bolts!$I$5:$I$238,"Observado")+COUNTIFS(Bolts!$A$5:$A$238,A29,Bolts!$I$5:$I$238,"No implementado")</x:f>
        <x:v>5</x:v>
      </x:c>
      <x:c r="E29" s="121" t="n">
        <x:f>IFERROR(C29/B29,0)</x:f>
        <x:v>0.125</x:v>
      </x:c>
      <x:c r="F29" s="120"/>
      <x:c r="G29" s="120"/>
      <x:c r="H29" s="120"/>
      <x:c r="I29" s="120"/>
      <x:c r="J29" s="120"/>
      <x:c r="K29" s="117"/>
    </x:row>
    <x:row r="30">
      <x:c r="A30" s="120" t="str">
        <x:v>INT-010 Variables socioeconómicas y datos familiares</x:v>
      </x:c>
      <x:c r="B30" s="120" t="n">
        <x:f>COUNTIF(Bolts!$A$5:$A$238,A30)</x:f>
        <x:v>9</x:v>
      </x:c>
      <x:c r="C30" s="120" t="n">
        <x:f>COUNTIFS(Bolts!$A$5:$A$238,A30,Bolts!$I$5:$I$238,"Completado")</x:f>
        <x:v>3</x:v>
      </x:c>
      <x:c r="D30" s="120" t="n">
        <x:f>COUNTIFS(Bolts!$A$5:$A$238,A30,Bolts!$I$5:$I$238,"Pendiente")+COUNTIFS(Bolts!$A$5:$A$238,A30,Bolts!$I$5:$I$238,"Observado")+COUNTIFS(Bolts!$A$5:$A$238,A30,Bolts!$I$5:$I$238,"No implementado")</x:f>
        <x:v>2</x:v>
      </x:c>
      <x:c r="E30" s="121" t="n">
        <x:f>IFERROR(C30/B30,0)</x:f>
        <x:v>0.3333333333333333</x:v>
      </x:c>
      <x:c r="F30" s="120"/>
      <x:c r="G30" s="120"/>
      <x:c r="H30" s="120"/>
      <x:c r="I30" s="120"/>
      <x:c r="J30" s="120"/>
      <x:c r="K30" s="117"/>
    </x:row>
    <x:row r="31">
      <x:c r="A31" s="120" t="str">
        <x:v>INT-011 Procesamiento del riesgo académico</x:v>
      </x:c>
      <x:c r="B31" s="120" t="n">
        <x:f>COUNTIF(Bolts!$A$5:$A$238,A31)</x:f>
        <x:v>15</x:v>
      </x:c>
      <x:c r="C31" s="120" t="n">
        <x:f>COUNTIFS(Bolts!$A$5:$A$238,A31,Bolts!$I$5:$I$238,"Completado")</x:f>
        <x:v>15</x:v>
      </x:c>
      <x:c r="D31" s="120" t="n">
        <x:f>COUNTIFS(Bolts!$A$5:$A$238,A31,Bolts!$I$5:$I$238,"Pendiente")+COUNTIFS(Bolts!$A$5:$A$238,A31,Bolts!$I$5:$I$238,"Observado")+COUNTIFS(Bolts!$A$5:$A$238,A31,Bolts!$I$5:$I$238,"No implementado")</x:f>
        <x:v>0</x:v>
      </x:c>
      <x:c r="E31" s="121" t="n">
        <x:f>IFERROR(C31/B31,0)</x:f>
        <x:v>1</x:v>
      </x:c>
      <x:c r="F31" s="120"/>
      <x:c r="G31" s="120"/>
      <x:c r="H31" s="120"/>
      <x:c r="I31" s="120"/>
      <x:c r="J31" s="120"/>
      <x:c r="K31" s="117"/>
    </x:row>
    <x:row r="32">
      <x:c r="A32" s="120" t="str">
        <x:v>INT-012 Microservicio de Machine Learning</x:v>
      </x:c>
      <x:c r="B32" s="120" t="n">
        <x:f>COUNTIF(Bolts!$A$5:$A$238,A32)</x:f>
        <x:v>10</x:v>
      </x:c>
      <x:c r="C32" s="120" t="n">
        <x:f>COUNTIFS(Bolts!$A$5:$A$238,A32,Bolts!$I$5:$I$238,"Completado")</x:f>
        <x:v>7</x:v>
      </x:c>
      <x:c r="D32" s="120" t="n">
        <x:f>COUNTIFS(Bolts!$A$5:$A$238,A32,Bolts!$I$5:$I$238,"Pendiente")+COUNTIFS(Bolts!$A$5:$A$238,A32,Bolts!$I$5:$I$238,"Observado")+COUNTIFS(Bolts!$A$5:$A$238,A32,Bolts!$I$5:$I$238,"No implementado")</x:f>
        <x:v>2</x:v>
      </x:c>
      <x:c r="E32" s="121" t="n">
        <x:f>IFERROR(C32/B32,0)</x:f>
        <x:v>0.7</x:v>
      </x:c>
      <x:c r="F32" s="120"/>
      <x:c r="G32" s="120"/>
      <x:c r="H32" s="120"/>
      <x:c r="I32" s="120"/>
      <x:c r="J32" s="120"/>
      <x:c r="K32" s="117"/>
    </x:row>
    <x:row r="33">
      <x:c r="A33" s="120" t="str">
        <x:v>INT-013 Alertas tempranas</x:v>
      </x:c>
      <x:c r="B33" s="120" t="n">
        <x:f>COUNTIF(Bolts!$A$5:$A$238,A33)</x:f>
        <x:v>10</x:v>
      </x:c>
      <x:c r="C33" s="120" t="n">
        <x:f>COUNTIFS(Bolts!$A$5:$A$238,A33,Bolts!$I$5:$I$238,"Completado")</x:f>
        <x:v>8</x:v>
      </x:c>
      <x:c r="D33" s="120" t="n">
        <x:f>COUNTIFS(Bolts!$A$5:$A$238,A33,Bolts!$I$5:$I$238,"Pendiente")+COUNTIFS(Bolts!$A$5:$A$238,A33,Bolts!$I$5:$I$238,"Observado")+COUNTIFS(Bolts!$A$5:$A$238,A33,Bolts!$I$5:$I$238,"No implementado")</x:f>
        <x:v>1</x:v>
      </x:c>
      <x:c r="E33" s="121" t="n">
        <x:f>IFERROR(C33/B33,0)</x:f>
        <x:v>0.8</x:v>
      </x:c>
      <x:c r="F33" s="120"/>
      <x:c r="G33" s="120"/>
      <x:c r="H33" s="120"/>
      <x:c r="I33" s="120"/>
      <x:c r="J33" s="120"/>
      <x:c r="K33" s="117"/>
    </x:row>
    <x:row r="34">
      <x:c r="A34" s="120" t="str">
        <x:v>INT-014 Intervenciones y seguimiento</x:v>
      </x:c>
      <x:c r="B34" s="120" t="n">
        <x:f>COUNTIF(Bolts!$A$5:$A$238,A34)</x:f>
        <x:v>10</x:v>
      </x:c>
      <x:c r="C34" s="120" t="n">
        <x:f>COUNTIFS(Bolts!$A$5:$A$238,A34,Bolts!$I$5:$I$238,"Completado")</x:f>
        <x:v>7</x:v>
      </x:c>
      <x:c r="D34" s="120" t="n">
        <x:f>COUNTIFS(Bolts!$A$5:$A$238,A34,Bolts!$I$5:$I$238,"Pendiente")+COUNTIFS(Bolts!$A$5:$A$238,A34,Bolts!$I$5:$I$238,"Observado")+COUNTIFS(Bolts!$A$5:$A$238,A34,Bolts!$I$5:$I$238,"No implementado")</x:f>
        <x:v>0</x:v>
      </x:c>
      <x:c r="E34" s="121" t="n">
        <x:f>IFERROR(C34/B34,0)</x:f>
        <x:v>0.7</x:v>
      </x:c>
      <x:c r="F34" s="120"/>
      <x:c r="G34" s="120"/>
      <x:c r="H34" s="120"/>
      <x:c r="I34" s="120"/>
      <x:c r="J34" s="120"/>
      <x:c r="K34" s="117"/>
    </x:row>
    <x:row r="35">
      <x:c r="A35" s="120" t="str">
        <x:v>INT-015 Dashboard y reportes</x:v>
      </x:c>
      <x:c r="B35" s="120" t="n">
        <x:f>COUNTIF(Bolts!$A$5:$A$238,A35)</x:f>
        <x:v>14</x:v>
      </x:c>
      <x:c r="C35" s="120" t="n">
        <x:f>COUNTIFS(Bolts!$A$5:$A$238,A35,Bolts!$I$5:$I$238,"Completado")</x:f>
        <x:v>9</x:v>
      </x:c>
      <x:c r="D35" s="120" t="n">
        <x:f>COUNTIFS(Bolts!$A$5:$A$238,A35,Bolts!$I$5:$I$238,"Pendiente")+COUNTIFS(Bolts!$A$5:$A$238,A35,Bolts!$I$5:$I$238,"Observado")+COUNTIFS(Bolts!$A$5:$A$238,A35,Bolts!$I$5:$I$238,"No implementado")</x:f>
        <x:v>4</x:v>
      </x:c>
      <x:c r="E35" s="121" t="n">
        <x:f>IFERROR(C35/B35,0)</x:f>
        <x:v>0.6428571428571429</x:v>
      </x:c>
      <x:c r="F35" s="120"/>
      <x:c r="G35" s="120"/>
      <x:c r="H35" s="120"/>
      <x:c r="I35" s="120"/>
      <x:c r="J35" s="120"/>
      <x:c r="K35" s="117"/>
    </x:row>
    <x:row r="36">
      <x:c r="A36" s="120" t="str">
        <x:v>INT-016 Auditoría y trazabilidad</x:v>
      </x:c>
      <x:c r="B36" s="120" t="n">
        <x:f>COUNTIF(Bolts!$A$5:$A$238,A36)</x:f>
        <x:v>10</x:v>
      </x:c>
      <x:c r="C36" s="120" t="n">
        <x:f>COUNTIFS(Bolts!$A$5:$A$238,A36,Bolts!$I$5:$I$238,"Completado")</x:f>
        <x:v>5</x:v>
      </x:c>
      <x:c r="D36" s="120" t="n">
        <x:f>COUNTIFS(Bolts!$A$5:$A$238,A36,Bolts!$I$5:$I$238,"Pendiente")+COUNTIFS(Bolts!$A$5:$A$238,A36,Bolts!$I$5:$I$238,"Observado")+COUNTIFS(Bolts!$A$5:$A$238,A36,Bolts!$I$5:$I$238,"No implementado")</x:f>
        <x:v>2</x:v>
      </x:c>
      <x:c r="E36" s="121" t="n">
        <x:f>IFERROR(C36/B36,0)</x:f>
        <x:v>0.5</x:v>
      </x:c>
      <x:c r="F36" s="120"/>
      <x:c r="G36" s="120"/>
      <x:c r="H36" s="120"/>
      <x:c r="I36" s="120"/>
      <x:c r="J36" s="120"/>
      <x:c r="K36" s="117"/>
    </x:row>
    <x:row r="37">
      <x:c r="A37" s="120" t="str">
        <x:v>INT-017 Seguridad y calidad</x:v>
      </x:c>
      <x:c r="B37" s="120" t="n">
        <x:f>COUNTIF(Bolts!$A$5:$A$238,A37)</x:f>
        <x:v>10</x:v>
      </x:c>
      <x:c r="C37" s="120" t="n">
        <x:f>COUNTIFS(Bolts!$A$5:$A$238,A37,Bolts!$I$5:$I$238,"Completado")</x:f>
        <x:v>2</x:v>
      </x:c>
      <x:c r="D37" s="120" t="n">
        <x:f>COUNTIFS(Bolts!$A$5:$A$238,A37,Bolts!$I$5:$I$238,"Pendiente")+COUNTIFS(Bolts!$A$5:$A$238,A37,Bolts!$I$5:$I$238,"Observado")+COUNTIFS(Bolts!$A$5:$A$238,A37,Bolts!$I$5:$I$238,"No implementado")</x:f>
        <x:v>3</x:v>
      </x:c>
      <x:c r="E37" s="121" t="n">
        <x:f>IFERROR(C37/B37,0)</x:f>
        <x:v>0.2</x:v>
      </x:c>
      <x:c r="F37" s="120"/>
      <x:c r="G37" s="120"/>
      <x:c r="H37" s="120"/>
      <x:c r="I37" s="120"/>
      <x:c r="J37" s="120"/>
      <x:c r="K37" s="117"/>
    </x:row>
    <x:row r="38">
      <x:c r="A38" s="120" t="str">
        <x:v>INT-018 Pruebas automáticas</x:v>
      </x:c>
      <x:c r="B38" s="120" t="n">
        <x:f>COUNTIF(Bolts!$A$5:$A$238,A38)</x:f>
        <x:v>12</x:v>
      </x:c>
      <x:c r="C38" s="120" t="n">
        <x:f>COUNTIFS(Bolts!$A$5:$A$238,A38,Bolts!$I$5:$I$238,"Completado")</x:f>
        <x:v>10</x:v>
      </x:c>
      <x:c r="D38" s="120" t="n">
        <x:f>COUNTIFS(Bolts!$A$5:$A$238,A38,Bolts!$I$5:$I$238,"Pendiente")+COUNTIFS(Bolts!$A$5:$A$238,A38,Bolts!$I$5:$I$238,"Observado")+COUNTIFS(Bolts!$A$5:$A$238,A38,Bolts!$I$5:$I$238,"No implementado")</x:f>
        <x:v>1</x:v>
      </x:c>
      <x:c r="E38" s="121" t="n">
        <x:f>IFERROR(C38/B38,0)</x:f>
        <x:v>0.8333333333333334</x:v>
      </x:c>
      <x:c r="F38" s="120"/>
      <x:c r="G38" s="120"/>
      <x:c r="H38" s="120"/>
      <x:c r="I38" s="120"/>
      <x:c r="J38" s="120"/>
      <x:c r="K38" s="117"/>
    </x:row>
    <x:row r="39">
      <x:c r="A39" s="120" t="str">
        <x:v>INT-019 Documentación académica y propiedad intelectual</x:v>
      </x:c>
      <x:c r="B39" s="120" t="n">
        <x:f>COUNTIF(Bolts!$A$5:$A$238,A39)</x:f>
        <x:v>16</x:v>
      </x:c>
      <x:c r="C39" s="120" t="n">
        <x:f>COUNTIFS(Bolts!$A$5:$A$238,A39,Bolts!$I$5:$I$238,"Completado")</x:f>
        <x:v>6</x:v>
      </x:c>
      <x:c r="D39" s="120" t="n">
        <x:f>COUNTIFS(Bolts!$A$5:$A$238,A39,Bolts!$I$5:$I$238,"Pendiente")+COUNTIFS(Bolts!$A$5:$A$238,A39,Bolts!$I$5:$I$238,"Observado")+COUNTIFS(Bolts!$A$5:$A$238,A39,Bolts!$I$5:$I$238,"No implementado")</x:f>
        <x:v>4</x:v>
      </x:c>
      <x:c r="E39" s="121" t="n">
        <x:f>IFERROR(C39/B39,0)</x:f>
        <x:v>0.375</x:v>
      </x:c>
      <x:c r="F39" s="120"/>
      <x:c r="G39" s="120"/>
      <x:c r="H39" s="120"/>
      <x:c r="I39" s="120"/>
      <x:c r="J39" s="120"/>
      <x:c r="K39" s="117"/>
    </x:row>
    <x:row r="40">
      <x:c r="A40" s="120" t="str">
        <x:v>INT-020 Validación con el Colegio Blenkir</x:v>
      </x:c>
      <x:c r="B40" s="120" t="n">
        <x:f>COUNTIF(Bolts!$A$5:$A$238,A40)</x:f>
        <x:v>12</x:v>
      </x:c>
      <x:c r="C40" s="120" t="n">
        <x:f>COUNTIFS(Bolts!$A$5:$A$238,A40,Bolts!$I$5:$I$238,"Completado")</x:f>
        <x:v>1</x:v>
      </x:c>
      <x:c r="D40" s="120" t="n">
        <x:f>COUNTIFS(Bolts!$A$5:$A$238,A40,Bolts!$I$5:$I$238,"Pendiente")+COUNTIFS(Bolts!$A$5:$A$238,A40,Bolts!$I$5:$I$238,"Observado")+COUNTIFS(Bolts!$A$5:$A$238,A40,Bolts!$I$5:$I$238,"No implementado")</x:f>
        <x:v>3</x:v>
      </x:c>
      <x:c r="E40" s="121" t="n">
        <x:f>IFERROR(C40/B40,0)</x:f>
        <x:v>0.08333333333333333</x:v>
      </x:c>
      <x:c r="F40" s="120"/>
      <x:c r="G40" s="120"/>
      <x:c r="H40" s="120"/>
      <x:c r="I40" s="120"/>
      <x:c r="J40" s="120"/>
      <x:c r="K40" s="117"/>
    </x:row>
    <x:row r="41">
      <x:c r="A41" s="120"/>
      <x:c r="B41" s="120"/>
      <x:c r="C41" s="120"/>
      <x:c r="D41" s="120"/>
      <x:c r="E41" s="120"/>
      <x:c r="F41" s="120"/>
      <x:c r="G41" s="120"/>
      <x:c r="H41" s="120"/>
      <x:c r="I41" s="120"/>
      <x:c r="J41" s="120"/>
      <x:c r="K41" s="117"/>
    </x:row>
    <x:row r="42">
      <x:c r="A42" s="120"/>
      <x:c r="B42" s="120"/>
      <x:c r="C42" s="120"/>
      <x:c r="D42" s="120"/>
      <x:c r="E42" s="120"/>
      <x:c r="F42" s="120"/>
      <x:c r="G42" s="120"/>
      <x:c r="H42" s="120"/>
      <x:c r="I42" s="120"/>
      <x:c r="J42" s="120"/>
      <x:c r="K42" s="117"/>
    </x:row>
    <x:row r="43">
      <x:c r="A43" s="120"/>
      <x:c r="B43" s="120"/>
      <x:c r="C43" s="120"/>
      <x:c r="D43" s="120"/>
      <x:c r="E43" s="120"/>
      <x:c r="F43" s="120"/>
      <x:c r="G43" s="120"/>
      <x:c r="H43" s="120"/>
      <x:c r="I43" s="120"/>
      <x:c r="J43" s="120"/>
      <x:c r="K43" s="117"/>
    </x:row>
    <x:row r="44">
      <x:c r="A44" s="120"/>
      <x:c r="B44" s="120"/>
      <x:c r="C44" s="120"/>
      <x:c r="D44" s="120"/>
      <x:c r="E44" s="120"/>
      <x:c r="F44" s="120"/>
      <x:c r="G44" s="120"/>
      <x:c r="H44" s="120"/>
      <x:c r="I44" s="120"/>
      <x:c r="J44" s="120"/>
      <x:c r="K44" s="117"/>
    </x:row>
    <x:row r="45">
      <x:c r="A45" s="120"/>
      <x:c r="B45" s="120"/>
      <x:c r="C45" s="120"/>
      <x:c r="D45" s="120"/>
      <x:c r="E45" s="120"/>
      <x:c r="F45" s="120"/>
      <x:c r="G45" s="120"/>
      <x:c r="H45" s="120"/>
      <x:c r="I45" s="120"/>
      <x:c r="J45" s="120"/>
      <x:c r="K45" s="117"/>
    </x:row>
    <x:row r="46">
      <x:c r="A46" s="117"/>
      <x:c r="B46" s="117"/>
      <x:c r="C46" s="117"/>
      <x:c r="D46" s="117"/>
      <x:c r="E46" s="117"/>
      <x:c r="F46" s="117"/>
      <x:c r="G46" s="117"/>
      <x:c r="H46" s="117"/>
      <x:c r="I46" s="117"/>
      <x:c r="J46" s="117"/>
      <x:c r="K46" s="117"/>
    </x:row>
    <x:row r="47">
      <x:c r="A47" s="117"/>
      <x:c r="B47" s="117"/>
      <x:c r="C47" s="117"/>
      <x:c r="D47" s="117"/>
      <x:c r="E47" s="117"/>
      <x:c r="F47" s="117"/>
      <x:c r="G47" s="117"/>
      <x:c r="H47" s="117"/>
      <x:c r="I47" s="117"/>
      <x:c r="J47" s="117"/>
      <x:c r="K47" s="117"/>
    </x:row>
    <x:row r="48">
      <x:c r="A48" s="117"/>
      <x:c r="B48" s="117"/>
      <x:c r="C48" s="117"/>
      <x:c r="D48" s="117"/>
      <x:c r="E48" s="117"/>
      <x:c r="F48" s="117"/>
      <x:c r="G48" s="117"/>
      <x:c r="H48" s="117"/>
      <x:c r="I48" s="117"/>
      <x:c r="J48" s="117"/>
      <x:c r="K48" s="117"/>
    </x:row>
    <x:row r="49">
      <x:c r="A49" s="117"/>
      <x:c r="B49" s="117"/>
      <x:c r="C49" s="117"/>
      <x:c r="D49" s="117"/>
      <x:c r="E49" s="117"/>
      <x:c r="F49" s="117"/>
      <x:c r="G49" s="117"/>
      <x:c r="H49" s="117"/>
      <x:c r="I49" s="117"/>
      <x:c r="J49" s="117"/>
      <x:c r="K49" s="117"/>
    </x:row>
    <x:row r="50">
      <x:c r="A50" s="117"/>
      <x:c r="B50" s="117"/>
      <x:c r="C50" s="117"/>
      <x:c r="D50" s="117"/>
      <x:c r="E50" s="117"/>
      <x:c r="F50" s="117"/>
      <x:c r="G50" s="117"/>
      <x:c r="H50" s="117"/>
      <x:c r="I50" s="117"/>
      <x:c r="J50" s="117"/>
      <x:c r="K50" s="117"/>
    </x:row>
    <x:row r="51">
      <x:c r="A51" s="117"/>
      <x:c r="B51" s="117"/>
      <x:c r="C51" s="117"/>
      <x:c r="D51" s="117"/>
      <x:c r="E51" s="117"/>
      <x:c r="F51" s="117"/>
      <x:c r="G51" s="117"/>
      <x:c r="H51" s="117"/>
      <x:c r="I51" s="117"/>
      <x:c r="J51" s="117"/>
      <x:c r="K51" s="117"/>
    </x:row>
    <x:row r="52">
      <x:c r="A52" s="117"/>
      <x:c r="B52" s="117"/>
      <x:c r="C52" s="117"/>
      <x:c r="D52" s="117"/>
      <x:c r="E52" s="117"/>
      <x:c r="F52" s="117"/>
      <x:c r="G52" s="117"/>
      <x:c r="H52" s="117"/>
      <x:c r="I52" s="117"/>
      <x:c r="J52" s="117"/>
      <x:c r="K52" s="117"/>
    </x:row>
    <x:row r="53">
      <x:c r="A53" s="117"/>
      <x:c r="B53" s="117"/>
      <x:c r="C53" s="117"/>
      <x:c r="D53" s="117"/>
      <x:c r="E53" s="117"/>
      <x:c r="F53" s="117"/>
      <x:c r="G53" s="117"/>
      <x:c r="H53" s="117"/>
      <x:c r="I53" s="117"/>
      <x:c r="J53" s="117"/>
      <x:c r="K53" s="117"/>
    </x:row>
    <x:row r="54">
      <x:c r="A54" s="117"/>
      <x:c r="B54" s="117"/>
      <x:c r="C54" s="117"/>
      <x:c r="D54" s="117"/>
      <x:c r="E54" s="117"/>
      <x:c r="F54" s="117"/>
      <x:c r="G54" s="117"/>
      <x:c r="H54" s="117"/>
      <x:c r="I54" s="117"/>
      <x:c r="J54" s="117"/>
      <x:c r="K54" s="117"/>
    </x:row>
    <x:row r="55">
      <x:c r="A55" s="117"/>
      <x:c r="B55" s="117"/>
      <x:c r="C55" s="117"/>
      <x:c r="D55" s="117"/>
      <x:c r="E55" s="117"/>
      <x:c r="F55" s="117"/>
      <x:c r="G55" s="117"/>
      <x:c r="H55" s="117"/>
      <x:c r="I55" s="117"/>
      <x:c r="J55" s="117"/>
      <x:c r="K55" s="117"/>
    </x:row>
    <x:row r="56">
      <x:c r="A56" s="117"/>
      <x:c r="B56" s="117"/>
      <x:c r="C56" s="117"/>
      <x:c r="D56" s="117"/>
      <x:c r="E56" s="117"/>
      <x:c r="F56" s="117"/>
      <x:c r="G56" s="117"/>
      <x:c r="H56" s="117"/>
      <x:c r="I56" s="117"/>
      <x:c r="J56" s="117"/>
      <x:c r="K56" s="117"/>
    </x:row>
    <x:row r="57">
      <x:c r="A57" s="117"/>
      <x:c r="B57" s="117"/>
      <x:c r="C57" s="117"/>
      <x:c r="D57" s="117"/>
      <x:c r="E57" s="117"/>
      <x:c r="F57" s="117"/>
      <x:c r="G57" s="117"/>
      <x:c r="H57" s="117"/>
      <x:c r="I57" s="117"/>
      <x:c r="J57" s="117"/>
      <x:c r="K57" s="117"/>
    </x:row>
    <x:row r="58">
      <x:c r="A58" s="117"/>
      <x:c r="B58" s="117"/>
      <x:c r="C58" s="117"/>
      <x:c r="D58" s="117"/>
      <x:c r="E58" s="117"/>
      <x:c r="F58" s="117"/>
      <x:c r="G58" s="117"/>
      <x:c r="H58" s="117"/>
      <x:c r="I58" s="117"/>
      <x:c r="J58" s="117"/>
      <x:c r="K58" s="117"/>
    </x:row>
    <x:row r="59">
      <x:c r="A59" s="117"/>
      <x:c r="B59" s="117"/>
      <x:c r="C59" s="117"/>
      <x:c r="D59" s="117"/>
      <x:c r="E59" s="117"/>
      <x:c r="F59" s="117"/>
      <x:c r="G59" s="117"/>
      <x:c r="H59" s="117"/>
      <x:c r="I59" s="117"/>
      <x:c r="J59" s="117"/>
      <x:c r="K59" s="117"/>
    </x:row>
    <x:row r="60">
      <x:c r="A60" s="117"/>
      <x:c r="B60" s="117"/>
      <x:c r="C60" s="117"/>
      <x:c r="D60" s="117"/>
      <x:c r="E60" s="117"/>
      <x:c r="F60" s="117"/>
      <x:c r="G60" s="117"/>
      <x:c r="H60" s="117"/>
      <x:c r="I60" s="117"/>
      <x:c r="J60" s="117"/>
      <x:c r="K60" s="117"/>
    </x:row>
    <x:row r="61">
      <x:c r="A61" s="117"/>
      <x:c r="B61" s="117"/>
      <x:c r="C61" s="117"/>
      <x:c r="D61" s="117"/>
      <x:c r="E61" s="117"/>
      <x:c r="F61" s="117"/>
      <x:c r="G61" s="117"/>
      <x:c r="H61" s="117"/>
      <x:c r="I61" s="117"/>
      <x:c r="J61" s="117"/>
      <x:c r="K61" s="117"/>
    </x:row>
    <x:row r="62">
      <x:c r="A62" s="117"/>
      <x:c r="B62" s="117"/>
      <x:c r="C62" s="117"/>
      <x:c r="D62" s="117"/>
      <x:c r="E62" s="117"/>
      <x:c r="F62" s="117"/>
      <x:c r="G62" s="117"/>
      <x:c r="H62" s="117"/>
      <x:c r="I62" s="117"/>
      <x:c r="J62" s="117"/>
      <x:c r="K62" s="117"/>
    </x:row>
    <x:row r="63">
      <x:c r="A63" s="117"/>
      <x:c r="B63" s="117"/>
      <x:c r="C63" s="117"/>
      <x:c r="D63" s="117"/>
      <x:c r="E63" s="117"/>
      <x:c r="F63" s="117"/>
      <x:c r="G63" s="117"/>
      <x:c r="H63" s="117"/>
      <x:c r="I63" s="117"/>
      <x:c r="J63" s="117"/>
      <x:c r="K63" s="117"/>
    </x:row>
    <x:row r="64">
      <x:c r="A64" s="117"/>
      <x:c r="B64" s="117"/>
      <x:c r="C64" s="117"/>
      <x:c r="D64" s="117"/>
      <x:c r="E64" s="117"/>
      <x:c r="F64" s="117"/>
      <x:c r="G64" s="117"/>
      <x:c r="H64" s="117"/>
      <x:c r="I64" s="117"/>
      <x:c r="J64" s="117"/>
      <x:c r="K64" s="117"/>
    </x:row>
    <x:row r="65">
      <x:c r="A65" s="117"/>
      <x:c r="B65" s="117"/>
      <x:c r="C65" s="117"/>
      <x:c r="D65" s="117"/>
      <x:c r="E65" s="117"/>
      <x:c r="F65" s="117"/>
      <x:c r="G65" s="117"/>
      <x:c r="H65" s="117"/>
      <x:c r="I65" s="117"/>
      <x:c r="J65" s="117"/>
      <x:c r="K65" s="117"/>
    </x:row>
    <x:row r="66">
      <x:c r="A66" s="117"/>
      <x:c r="B66" s="117"/>
      <x:c r="C66" s="117"/>
      <x:c r="D66" s="117"/>
      <x:c r="E66" s="117"/>
      <x:c r="F66" s="117"/>
      <x:c r="G66" s="117"/>
      <x:c r="H66" s="117"/>
      <x:c r="I66" s="117"/>
      <x:c r="J66" s="117"/>
      <x:c r="K66" s="117"/>
    </x:row>
    <x:row r="67">
      <x:c r="A67" s="117"/>
      <x:c r="B67" s="117"/>
      <x:c r="C67" s="117"/>
      <x:c r="D67" s="117"/>
      <x:c r="E67" s="117"/>
      <x:c r="F67" s="117"/>
      <x:c r="G67" s="117"/>
      <x:c r="H67" s="117"/>
      <x:c r="I67" s="117"/>
      <x:c r="J67" s="117"/>
      <x:c r="K67" s="117"/>
    </x:row>
    <x:row r="68">
      <x:c r="A68" s="117"/>
      <x:c r="B68" s="117"/>
      <x:c r="C68" s="117"/>
      <x:c r="D68" s="117"/>
      <x:c r="E68" s="117"/>
      <x:c r="F68" s="117"/>
      <x:c r="G68" s="117"/>
      <x:c r="H68" s="117"/>
      <x:c r="I68" s="117"/>
      <x:c r="J68" s="117"/>
      <x:c r="K68" s="117"/>
    </x:row>
    <x:row r="69">
      <x:c r="A69" s="117"/>
      <x:c r="B69" s="117"/>
      <x:c r="C69" s="117"/>
      <x:c r="D69" s="117"/>
      <x:c r="E69" s="117"/>
      <x:c r="F69" s="117"/>
      <x:c r="G69" s="117"/>
      <x:c r="H69" s="117"/>
      <x:c r="I69" s="117"/>
      <x:c r="J69" s="117"/>
      <x:c r="K69" s="117"/>
    </x:row>
    <x:row r="70">
      <x:c r="A70" s="117"/>
      <x:c r="B70" s="117"/>
      <x:c r="C70" s="117"/>
      <x:c r="D70" s="117"/>
      <x:c r="E70" s="117"/>
      <x:c r="F70" s="117"/>
      <x:c r="G70" s="117"/>
      <x:c r="H70" s="117"/>
      <x:c r="I70" s="117"/>
      <x:c r="J70" s="117"/>
      <x:c r="K70" s="117"/>
    </x:row>
    <x:row r="71">
      <x:c r="A71" s="117"/>
      <x:c r="B71" s="117"/>
      <x:c r="C71" s="117"/>
      <x:c r="D71" s="117"/>
      <x:c r="E71" s="117"/>
      <x:c r="F71" s="117"/>
      <x:c r="G71" s="117"/>
      <x:c r="H71" s="117"/>
      <x:c r="I71" s="117"/>
      <x:c r="J71" s="117"/>
      <x:c r="K71" s="117"/>
    </x:row>
    <x:row r="72">
      <x:c r="A72" s="117"/>
      <x:c r="B72" s="117"/>
      <x:c r="C72" s="117"/>
      <x:c r="D72" s="117"/>
      <x:c r="E72" s="117"/>
      <x:c r="F72" s="117"/>
      <x:c r="G72" s="117"/>
      <x:c r="H72" s="117"/>
      <x:c r="I72" s="117"/>
      <x:c r="J72" s="117"/>
      <x:c r="K72" s="117"/>
    </x:row>
    <x:row r="73">
      <x:c r="A73" s="117"/>
      <x:c r="B73" s="117"/>
      <x:c r="C73" s="117"/>
      <x:c r="D73" s="117"/>
      <x:c r="E73" s="117"/>
      <x:c r="F73" s="117"/>
      <x:c r="G73" s="117"/>
      <x:c r="H73" s="117"/>
      <x:c r="I73" s="117"/>
      <x:c r="J73" s="117"/>
      <x:c r="K73" s="117"/>
    </x:row>
    <x:row r="74">
      <x:c r="A74" s="117"/>
      <x:c r="B74" s="117"/>
      <x:c r="C74" s="117"/>
      <x:c r="D74" s="117"/>
      <x:c r="E74" s="117"/>
      <x:c r="F74" s="117"/>
      <x:c r="G74" s="117"/>
      <x:c r="H74" s="117"/>
      <x:c r="I74" s="117"/>
      <x:c r="J74" s="117"/>
      <x:c r="K74" s="117"/>
    </x:row>
    <x:row r="75">
      <x:c r="A75" s="117"/>
      <x:c r="B75" s="117"/>
      <x:c r="C75" s="117"/>
      <x:c r="D75" s="117"/>
      <x:c r="E75" s="117"/>
      <x:c r="F75" s="117"/>
      <x:c r="G75" s="117"/>
      <x:c r="H75" s="117"/>
      <x:c r="I75" s="117"/>
      <x:c r="J75" s="117"/>
      <x:c r="K75" s="117"/>
    </x:row>
    <x:row r="76">
      <x:c r="A76" s="117"/>
      <x:c r="B76" s="117"/>
      <x:c r="C76" s="117"/>
      <x:c r="D76" s="117"/>
      <x:c r="E76" s="117"/>
      <x:c r="F76" s="117"/>
      <x:c r="G76" s="117"/>
      <x:c r="H76" s="117"/>
      <x:c r="I76" s="117"/>
      <x:c r="J76" s="117"/>
      <x:c r="K76" s="117"/>
    </x:row>
    <x:row r="77">
      <x:c r="A77" s="117"/>
      <x:c r="B77" s="117"/>
      <x:c r="C77" s="117"/>
      <x:c r="D77" s="117"/>
      <x:c r="E77" s="117"/>
      <x:c r="F77" s="117"/>
      <x:c r="G77" s="117"/>
      <x:c r="H77" s="117"/>
      <x:c r="I77" s="117"/>
      <x:c r="J77" s="117"/>
      <x:c r="K77" s="117"/>
    </x:row>
    <x:row r="78">
      <x:c r="A78" s="117"/>
      <x:c r="B78" s="117"/>
      <x:c r="C78" s="117"/>
      <x:c r="D78" s="117"/>
      <x:c r="E78" s="117"/>
      <x:c r="F78" s="117"/>
      <x:c r="G78" s="117"/>
      <x:c r="H78" s="117"/>
      <x:c r="I78" s="117"/>
      <x:c r="J78" s="117"/>
      <x:c r="K78" s="117"/>
    </x:row>
    <x:row r="79">
      <x:c r="A79" s="117"/>
      <x:c r="B79" s="117"/>
      <x:c r="C79" s="117"/>
      <x:c r="D79" s="117"/>
      <x:c r="E79" s="117"/>
      <x:c r="F79" s="117"/>
      <x:c r="G79" s="117"/>
      <x:c r="H79" s="117"/>
      <x:c r="I79" s="117"/>
      <x:c r="J79" s="117"/>
      <x:c r="K79" s="117"/>
    </x:row>
    <x:row r="80">
      <x:c r="A80" s="117"/>
      <x:c r="B80" s="117"/>
      <x:c r="C80" s="117"/>
      <x:c r="D80" s="117"/>
      <x:c r="E80" s="117"/>
      <x:c r="F80" s="117"/>
      <x:c r="G80" s="117"/>
      <x:c r="H80" s="117"/>
      <x:c r="I80" s="117"/>
      <x:c r="J80" s="117"/>
      <x:c r="K80" s="117"/>
    </x:row>
    <x:row r="81">
      <x:c r="A81" s="117"/>
      <x:c r="B81" s="117"/>
      <x:c r="C81" s="117"/>
      <x:c r="D81" s="117"/>
      <x:c r="E81" s="117"/>
      <x:c r="F81" s="117"/>
      <x:c r="G81" s="117"/>
      <x:c r="H81" s="117"/>
      <x:c r="I81" s="117"/>
      <x:c r="J81" s="117"/>
      <x:c r="K81" s="117"/>
    </x:row>
    <x:row r="82">
      <x:c r="A82" s="117"/>
      <x:c r="B82" s="117"/>
      <x:c r="C82" s="117"/>
      <x:c r="D82" s="117"/>
      <x:c r="E82" s="117"/>
      <x:c r="F82" s="117"/>
      <x:c r="G82" s="117"/>
      <x:c r="H82" s="117"/>
      <x:c r="I82" s="117"/>
      <x:c r="J82" s="117"/>
      <x:c r="K82" s="117"/>
    </x:row>
    <x:row r="83">
      <x:c r="A83" s="117"/>
      <x:c r="B83" s="117"/>
      <x:c r="C83" s="117"/>
      <x:c r="D83" s="117"/>
      <x:c r="E83" s="117"/>
      <x:c r="F83" s="117"/>
      <x:c r="G83" s="117"/>
      <x:c r="H83" s="117"/>
      <x:c r="I83" s="117"/>
      <x:c r="J83" s="117"/>
      <x:c r="K83" s="117"/>
    </x:row>
    <x:row r="84">
      <x:c r="A84" s="117"/>
      <x:c r="B84" s="117"/>
      <x:c r="C84" s="117"/>
      <x:c r="D84" s="117"/>
      <x:c r="E84" s="117"/>
      <x:c r="F84" s="117"/>
      <x:c r="G84" s="117"/>
      <x:c r="H84" s="117"/>
      <x:c r="I84" s="117"/>
      <x:c r="J84" s="117"/>
      <x:c r="K84" s="117"/>
    </x:row>
    <x:row r="85">
      <x:c r="A85" s="117"/>
      <x:c r="B85" s="117"/>
      <x:c r="C85" s="117"/>
      <x:c r="D85" s="117"/>
      <x:c r="E85" s="117"/>
      <x:c r="F85" s="117"/>
      <x:c r="G85" s="117"/>
      <x:c r="H85" s="117"/>
      <x:c r="I85" s="117"/>
      <x:c r="J85" s="117"/>
      <x:c r="K85" s="117"/>
    </x:row>
    <x:row r="86">
      <x:c r="A86" s="117"/>
      <x:c r="B86" s="117"/>
      <x:c r="C86" s="117"/>
      <x:c r="D86" s="117"/>
      <x:c r="E86" s="117"/>
      <x:c r="F86" s="117"/>
      <x:c r="G86" s="117"/>
      <x:c r="H86" s="117"/>
      <x:c r="I86" s="117"/>
      <x:c r="J86" s="117"/>
      <x:c r="K86" s="117"/>
    </x:row>
    <x:row r="87">
      <x:c r="A87" s="117"/>
      <x:c r="B87" s="117"/>
      <x:c r="C87" s="117"/>
      <x:c r="D87" s="117"/>
      <x:c r="E87" s="117"/>
      <x:c r="F87" s="117"/>
      <x:c r="G87" s="117"/>
      <x:c r="H87" s="117"/>
      <x:c r="I87" s="117"/>
      <x:c r="J87" s="117"/>
      <x:c r="K87" s="117"/>
    </x:row>
    <x:row r="88">
      <x:c r="A88" s="117"/>
      <x:c r="B88" s="117"/>
      <x:c r="C88" s="117"/>
      <x:c r="D88" s="117"/>
      <x:c r="E88" s="117"/>
      <x:c r="F88" s="117"/>
      <x:c r="G88" s="117"/>
      <x:c r="H88" s="117"/>
      <x:c r="I88" s="117"/>
      <x:c r="J88" s="117"/>
      <x:c r="K88" s="117"/>
    </x:row>
    <x:row r="89">
      <x:c r="A89" s="117"/>
      <x:c r="B89" s="117"/>
      <x:c r="C89" s="117"/>
      <x:c r="D89" s="117"/>
      <x:c r="E89" s="117"/>
      <x:c r="F89" s="117"/>
      <x:c r="G89" s="117"/>
      <x:c r="H89" s="117"/>
      <x:c r="I89" s="117"/>
      <x:c r="J89" s="117"/>
      <x:c r="K89" s="117"/>
    </x:row>
    <x:row r="90">
      <x:c r="A90" s="117"/>
      <x:c r="B90" s="117"/>
      <x:c r="C90" s="117"/>
      <x:c r="D90" s="117"/>
      <x:c r="E90" s="117"/>
      <x:c r="F90" s="117"/>
      <x:c r="G90" s="117"/>
      <x:c r="H90" s="117"/>
      <x:c r="I90" s="117"/>
      <x:c r="J90" s="117"/>
      <x:c r="K90" s="117"/>
    </x:row>
    <x:row r="91">
      <x:c r="A91" s="117"/>
      <x:c r="B91" s="117"/>
      <x:c r="C91" s="117"/>
      <x:c r="D91" s="117"/>
      <x:c r="E91" s="117"/>
      <x:c r="F91" s="117"/>
      <x:c r="G91" s="117"/>
      <x:c r="H91" s="117"/>
      <x:c r="I91" s="117"/>
      <x:c r="J91" s="117"/>
      <x:c r="K91" s="117"/>
    </x:row>
    <x:row r="92">
      <x:c r="A92" s="117"/>
      <x:c r="B92" s="117"/>
      <x:c r="C92" s="117"/>
      <x:c r="D92" s="117"/>
      <x:c r="E92" s="117"/>
      <x:c r="F92" s="117"/>
      <x:c r="G92" s="117"/>
      <x:c r="H92" s="117"/>
      <x:c r="I92" s="117"/>
      <x:c r="J92" s="117"/>
      <x:c r="K92" s="117"/>
    </x:row>
    <x:row r="93">
      <x:c r="A93" s="117"/>
      <x:c r="B93" s="117"/>
      <x:c r="C93" s="117"/>
      <x:c r="D93" s="117"/>
      <x:c r="E93" s="117"/>
      <x:c r="F93" s="117"/>
      <x:c r="G93" s="117"/>
      <x:c r="H93" s="117"/>
      <x:c r="I93" s="117"/>
      <x:c r="J93" s="117"/>
      <x:c r="K93" s="117"/>
    </x:row>
    <x:row r="94">
      <x:c r="A94" s="117"/>
      <x:c r="B94" s="117"/>
      <x:c r="C94" s="117"/>
      <x:c r="D94" s="117"/>
      <x:c r="E94" s="117"/>
      <x:c r="F94" s="117"/>
      <x:c r="G94" s="117"/>
      <x:c r="H94" s="117"/>
      <x:c r="I94" s="117"/>
      <x:c r="J94" s="117"/>
      <x:c r="K94" s="117"/>
    </x:row>
    <x:row r="95">
      <x:c r="A95" s="117"/>
      <x:c r="B95" s="117"/>
      <x:c r="C95" s="117"/>
      <x:c r="D95" s="117"/>
      <x:c r="E95" s="117"/>
      <x:c r="F95" s="117"/>
      <x:c r="G95" s="117"/>
      <x:c r="H95" s="117"/>
      <x:c r="I95" s="117"/>
      <x:c r="J95" s="117"/>
      <x:c r="K95" s="117"/>
    </x:row>
    <x:row r="96">
      <x:c r="A96" s="117"/>
      <x:c r="B96" s="117"/>
      <x:c r="C96" s="117"/>
      <x:c r="D96" s="117"/>
      <x:c r="E96" s="117"/>
      <x:c r="F96" s="117"/>
      <x:c r="G96" s="117"/>
      <x:c r="H96" s="117"/>
      <x:c r="I96" s="117"/>
      <x:c r="J96" s="117"/>
      <x:c r="K96" s="117"/>
    </x:row>
    <x:row r="97">
      <x:c r="A97" s="117"/>
      <x:c r="B97" s="117"/>
      <x:c r="C97" s="117"/>
      <x:c r="D97" s="117"/>
      <x:c r="E97" s="117"/>
      <x:c r="F97" s="117"/>
      <x:c r="G97" s="117"/>
      <x:c r="H97" s="117"/>
      <x:c r="I97" s="117"/>
      <x:c r="J97" s="117"/>
      <x:c r="K97" s="117"/>
    </x:row>
    <x:row r="98">
      <x:c r="A98" s="117"/>
      <x:c r="B98" s="117"/>
      <x:c r="C98" s="117"/>
      <x:c r="D98" s="117"/>
      <x:c r="E98" s="117"/>
      <x:c r="F98" s="117"/>
      <x:c r="G98" s="117"/>
      <x:c r="H98" s="117"/>
      <x:c r="I98" s="117"/>
      <x:c r="J98" s="117"/>
      <x:c r="K98" s="117"/>
    </x:row>
    <x:row r="99">
      <x:c r="A99" s="117"/>
      <x:c r="B99" s="117"/>
      <x:c r="C99" s="117"/>
      <x:c r="D99" s="117"/>
      <x:c r="E99" s="117"/>
      <x:c r="F99" s="117"/>
      <x:c r="G99" s="117"/>
      <x:c r="H99" s="117"/>
      <x:c r="I99" s="117"/>
      <x:c r="J99" s="117"/>
      <x:c r="K99" s="117"/>
    </x:row>
    <x:row r="100">
      <x:c r="A100" s="117"/>
      <x:c r="B100" s="117"/>
      <x:c r="C100" s="117"/>
      <x:c r="D100" s="117"/>
      <x:c r="E100" s="117"/>
      <x:c r="F100" s="117"/>
      <x:c r="G100" s="117"/>
      <x:c r="H100" s="117"/>
      <x:c r="I100" s="117"/>
      <x:c r="J100" s="117"/>
      <x:c r="K100" s="117"/>
    </x:row>
    <x:row r="101">
      <x:c r="A101" s="117"/>
      <x:c r="B101" s="117"/>
      <x:c r="C101" s="117"/>
      <x:c r="D101" s="117"/>
      <x:c r="E101" s="117"/>
      <x:c r="F101" s="117"/>
      <x:c r="G101" s="117"/>
      <x:c r="H101" s="117"/>
      <x:c r="I101" s="117"/>
      <x:c r="J101" s="117"/>
      <x:c r="K101" s="117"/>
    </x:row>
    <x:row r="102">
      <x:c r="A102" s="117"/>
      <x:c r="B102" s="117"/>
      <x:c r="C102" s="117"/>
      <x:c r="D102" s="117"/>
      <x:c r="E102" s="117"/>
      <x:c r="F102" s="117"/>
      <x:c r="G102" s="117"/>
      <x:c r="H102" s="117"/>
      <x:c r="I102" s="117"/>
      <x:c r="J102" s="117"/>
      <x:c r="K102" s="117"/>
    </x:row>
    <x:row r="103">
      <x:c r="A103" s="117"/>
      <x:c r="B103" s="117"/>
      <x:c r="C103" s="117"/>
      <x:c r="D103" s="117"/>
      <x:c r="E103" s="117"/>
      <x:c r="F103" s="117"/>
      <x:c r="G103" s="117"/>
      <x:c r="H103" s="117"/>
      <x:c r="I103" s="117"/>
      <x:c r="J103" s="117"/>
      <x:c r="K103" s="117"/>
    </x:row>
    <x:row r="104">
      <x:c r="A104" s="117"/>
      <x:c r="B104" s="117"/>
      <x:c r="C104" s="117"/>
      <x:c r="D104" s="117"/>
      <x:c r="E104" s="117"/>
      <x:c r="F104" s="117"/>
      <x:c r="G104" s="117"/>
      <x:c r="H104" s="117"/>
      <x:c r="I104" s="117"/>
      <x:c r="J104" s="117"/>
      <x:c r="K104" s="117"/>
    </x:row>
    <x:row r="105">
      <x:c r="A105" s="117"/>
      <x:c r="B105" s="117"/>
      <x:c r="C105" s="117"/>
      <x:c r="D105" s="117"/>
      <x:c r="E105" s="117"/>
      <x:c r="F105" s="117"/>
      <x:c r="G105" s="117"/>
      <x:c r="H105" s="117"/>
      <x:c r="I105" s="117"/>
      <x:c r="J105" s="117"/>
      <x:c r="K105" s="117"/>
    </x:row>
    <x:row r="106">
      <x:c r="A106" s="117"/>
      <x:c r="B106" s="117"/>
      <x:c r="C106" s="117"/>
      <x:c r="D106" s="117"/>
      <x:c r="E106" s="117"/>
      <x:c r="F106" s="117"/>
      <x:c r="G106" s="117"/>
      <x:c r="H106" s="117"/>
      <x:c r="I106" s="117"/>
      <x:c r="J106" s="117"/>
      <x:c r="K106" s="117"/>
    </x:row>
    <x:row r="107">
      <x:c r="A107" s="117"/>
      <x:c r="B107" s="117"/>
      <x:c r="C107" s="117"/>
      <x:c r="D107" s="117"/>
      <x:c r="E107" s="117"/>
      <x:c r="F107" s="117"/>
      <x:c r="G107" s="117"/>
      <x:c r="H107" s="117"/>
      <x:c r="I107" s="117"/>
      <x:c r="J107" s="117"/>
      <x:c r="K107" s="117"/>
    </x:row>
    <x:row r="108">
      <x:c r="A108" s="117"/>
      <x:c r="B108" s="117"/>
      <x:c r="C108" s="117"/>
      <x:c r="D108" s="117"/>
      <x:c r="E108" s="117"/>
      <x:c r="F108" s="117"/>
      <x:c r="G108" s="117"/>
      <x:c r="H108" s="117"/>
      <x:c r="I108" s="117"/>
      <x:c r="J108" s="117"/>
      <x:c r="K108" s="117"/>
    </x:row>
    <x:row r="109">
      <x:c r="A109" s="117"/>
      <x:c r="B109" s="117"/>
      <x:c r="C109" s="117"/>
      <x:c r="D109" s="117"/>
      <x:c r="E109" s="117"/>
      <x:c r="F109" s="117"/>
      <x:c r="G109" s="117"/>
      <x:c r="H109" s="117"/>
      <x:c r="I109" s="117"/>
      <x:c r="J109" s="117"/>
      <x:c r="K109" s="117"/>
    </x:row>
    <x:row r="110">
      <x:c r="A110" s="117"/>
      <x:c r="B110" s="117"/>
      <x:c r="C110" s="117"/>
      <x:c r="D110" s="117"/>
      <x:c r="E110" s="117"/>
      <x:c r="F110" s="117"/>
      <x:c r="G110" s="117"/>
      <x:c r="H110" s="117"/>
      <x:c r="I110" s="117"/>
      <x:c r="J110" s="117"/>
      <x:c r="K110" s="117"/>
    </x:row>
    <x:row r="111">
      <x:c r="A111" s="117"/>
      <x:c r="B111" s="117"/>
      <x:c r="C111" s="117"/>
      <x:c r="D111" s="117"/>
      <x:c r="E111" s="117"/>
      <x:c r="F111" s="117"/>
      <x:c r="G111" s="117"/>
      <x:c r="H111" s="117"/>
      <x:c r="I111" s="117"/>
      <x:c r="J111" s="117"/>
      <x:c r="K111" s="117"/>
    </x:row>
    <x:row r="112">
      <x:c r="A112" s="117"/>
      <x:c r="B112" s="117"/>
      <x:c r="C112" s="117"/>
      <x:c r="D112" s="117"/>
      <x:c r="E112" s="117"/>
      <x:c r="F112" s="117"/>
      <x:c r="G112" s="117"/>
      <x:c r="H112" s="117"/>
      <x:c r="I112" s="117"/>
      <x:c r="J112" s="117"/>
      <x:c r="K112" s="117"/>
    </x:row>
    <x:row r="113">
      <x:c r="A113" s="117"/>
      <x:c r="B113" s="117"/>
      <x:c r="C113" s="117"/>
      <x:c r="D113" s="117"/>
      <x:c r="E113" s="117"/>
      <x:c r="F113" s="117"/>
      <x:c r="G113" s="117"/>
      <x:c r="H113" s="117"/>
      <x:c r="I113" s="117"/>
      <x:c r="J113" s="117"/>
      <x:c r="K113" s="117"/>
    </x:row>
    <x:row r="114">
      <x:c r="A114" s="117"/>
      <x:c r="B114" s="117"/>
      <x:c r="C114" s="117"/>
      <x:c r="D114" s="117"/>
      <x:c r="E114" s="117"/>
      <x:c r="F114" s="117"/>
      <x:c r="G114" s="117"/>
      <x:c r="H114" s="117"/>
      <x:c r="I114" s="117"/>
      <x:c r="J114" s="117"/>
      <x:c r="K114" s="117"/>
    </x:row>
    <x:row r="115">
      <x:c r="A115" s="117"/>
      <x:c r="B115" s="117"/>
      <x:c r="C115" s="117"/>
      <x:c r="D115" s="117"/>
      <x:c r="E115" s="117"/>
      <x:c r="F115" s="117"/>
      <x:c r="G115" s="117"/>
      <x:c r="H115" s="117"/>
      <x:c r="I115" s="117"/>
      <x:c r="J115" s="117"/>
      <x:c r="K115" s="117"/>
    </x:row>
    <x:row r="116">
      <x:c r="A116" s="117"/>
      <x:c r="B116" s="117"/>
      <x:c r="C116" s="117"/>
      <x:c r="D116" s="117"/>
      <x:c r="E116" s="117"/>
      <x:c r="F116" s="117"/>
      <x:c r="G116" s="117"/>
      <x:c r="H116" s="117"/>
      <x:c r="I116" s="117"/>
      <x:c r="J116" s="117"/>
      <x:c r="K116" s="117"/>
    </x:row>
    <x:row r="117">
      <x:c r="A117" s="117"/>
      <x:c r="B117" s="117"/>
      <x:c r="C117" s="117"/>
      <x:c r="D117" s="117"/>
      <x:c r="E117" s="117"/>
      <x:c r="F117" s="117"/>
      <x:c r="G117" s="117"/>
      <x:c r="H117" s="117"/>
      <x:c r="I117" s="117"/>
      <x:c r="J117" s="117"/>
      <x:c r="K117" s="117"/>
    </x:row>
    <x:row r="118">
      <x:c r="A118" s="117"/>
      <x:c r="B118" s="117"/>
      <x:c r="C118" s="117"/>
      <x:c r="D118" s="117"/>
      <x:c r="E118" s="117"/>
      <x:c r="F118" s="117"/>
      <x:c r="G118" s="117"/>
      <x:c r="H118" s="117"/>
      <x:c r="I118" s="117"/>
      <x:c r="J118" s="117"/>
      <x:c r="K118" s="117"/>
    </x:row>
    <x:row r="119">
      <x:c r="A119" s="117"/>
      <x:c r="B119" s="117"/>
      <x:c r="C119" s="117"/>
      <x:c r="D119" s="117"/>
      <x:c r="E119" s="117"/>
      <x:c r="F119" s="117"/>
      <x:c r="G119" s="117"/>
      <x:c r="H119" s="117"/>
      <x:c r="I119" s="117"/>
      <x:c r="J119" s="117"/>
      <x:c r="K119" s="117"/>
    </x:row>
    <x:row r="120">
      <x:c r="A120" s="117"/>
      <x:c r="B120" s="117"/>
      <x:c r="C120" s="117"/>
      <x:c r="D120" s="117"/>
      <x:c r="E120" s="117"/>
      <x:c r="F120" s="117"/>
      <x:c r="G120" s="117"/>
      <x:c r="H120" s="117"/>
      <x:c r="I120" s="117"/>
      <x:c r="J120" s="117"/>
      <x:c r="K120" s="117"/>
    </x:row>
    <x:row r="121">
      <x:c r="A121" s="117"/>
      <x:c r="B121" s="117"/>
      <x:c r="C121" s="117"/>
      <x:c r="D121" s="117"/>
      <x:c r="E121" s="117"/>
      <x:c r="F121" s="117"/>
      <x:c r="G121" s="117"/>
      <x:c r="H121" s="117"/>
      <x:c r="I121" s="117"/>
      <x:c r="J121" s="117"/>
      <x:c r="K121" s="117"/>
    </x:row>
    <x:row r="122">
      <x:c r="A122" s="117"/>
      <x:c r="B122" s="117"/>
      <x:c r="C122" s="117"/>
      <x:c r="D122" s="117"/>
      <x:c r="E122" s="117"/>
      <x:c r="F122" s="117"/>
      <x:c r="G122" s="117"/>
      <x:c r="H122" s="117"/>
      <x:c r="I122" s="117"/>
      <x:c r="J122" s="117"/>
      <x:c r="K122" s="117"/>
    </x:row>
    <x:row r="123">
      <x:c r="A123" s="117"/>
      <x:c r="B123" s="117"/>
      <x:c r="C123" s="117"/>
      <x:c r="D123" s="117"/>
      <x:c r="E123" s="117"/>
      <x:c r="F123" s="117"/>
      <x:c r="G123" s="117"/>
      <x:c r="H123" s="117"/>
      <x:c r="I123" s="117"/>
      <x:c r="J123" s="117"/>
      <x:c r="K123" s="117"/>
    </x:row>
    <x:row r="124">
      <x:c r="A124" s="117"/>
      <x:c r="B124" s="117"/>
      <x:c r="C124" s="117"/>
      <x:c r="D124" s="117"/>
      <x:c r="E124" s="117"/>
      <x:c r="F124" s="117"/>
      <x:c r="G124" s="117"/>
      <x:c r="H124" s="117"/>
      <x:c r="I124" s="117"/>
      <x:c r="J124" s="117"/>
      <x:c r="K124" s="117"/>
    </x:row>
    <x:row r="125">
      <x:c r="A125" s="117"/>
      <x:c r="B125" s="117"/>
      <x:c r="C125" s="117"/>
      <x:c r="D125" s="117"/>
      <x:c r="E125" s="117"/>
      <x:c r="F125" s="117"/>
      <x:c r="G125" s="117"/>
      <x:c r="H125" s="117"/>
      <x:c r="I125" s="117"/>
      <x:c r="J125" s="117"/>
      <x:c r="K125" s="117"/>
    </x:row>
    <x:row r="126">
      <x:c r="A126" s="117"/>
      <x:c r="B126" s="117"/>
      <x:c r="C126" s="117"/>
      <x:c r="D126" s="117"/>
      <x:c r="E126" s="117"/>
      <x:c r="F126" s="117"/>
      <x:c r="G126" s="117"/>
      <x:c r="H126" s="117"/>
      <x:c r="I126" s="117"/>
      <x:c r="J126" s="117"/>
      <x:c r="K126" s="117"/>
    </x:row>
    <x:row r="127">
      <x:c r="A127" s="117"/>
      <x:c r="B127" s="117"/>
      <x:c r="C127" s="117"/>
      <x:c r="D127" s="117"/>
      <x:c r="E127" s="117"/>
      <x:c r="F127" s="117"/>
      <x:c r="G127" s="117"/>
      <x:c r="H127" s="117"/>
      <x:c r="I127" s="117"/>
      <x:c r="J127" s="117"/>
      <x:c r="K127" s="117"/>
    </x:row>
    <x:row r="128">
      <x:c r="A128" s="117"/>
      <x:c r="B128" s="117"/>
      <x:c r="C128" s="117"/>
      <x:c r="D128" s="117"/>
      <x:c r="E128" s="117"/>
      <x:c r="F128" s="117"/>
      <x:c r="G128" s="117"/>
      <x:c r="H128" s="117"/>
      <x:c r="I128" s="117"/>
      <x:c r="J128" s="117"/>
      <x:c r="K128" s="117"/>
    </x:row>
    <x:row r="129">
      <x:c r="A129" s="117"/>
      <x:c r="B129" s="117"/>
      <x:c r="C129" s="117"/>
      <x:c r="D129" s="117"/>
      <x:c r="E129" s="117"/>
      <x:c r="F129" s="117"/>
      <x:c r="G129" s="117"/>
      <x:c r="H129" s="117"/>
      <x:c r="I129" s="117"/>
      <x:c r="J129" s="117"/>
      <x:c r="K129" s="117"/>
    </x:row>
    <x:row r="130">
      <x:c r="A130" s="117"/>
      <x:c r="B130" s="117"/>
      <x:c r="C130" s="117"/>
      <x:c r="D130" s="117"/>
      <x:c r="E130" s="117"/>
      <x:c r="F130" s="117"/>
      <x:c r="G130" s="117"/>
      <x:c r="H130" s="117"/>
      <x:c r="I130" s="117"/>
      <x:c r="J130" s="117"/>
      <x:c r="K130" s="117"/>
    </x:row>
    <x:row r="131">
      <x:c r="A131" s="117"/>
      <x:c r="B131" s="117"/>
      <x:c r="C131" s="117"/>
      <x:c r="D131" s="117"/>
      <x:c r="E131" s="117"/>
      <x:c r="F131" s="117"/>
      <x:c r="G131" s="117"/>
      <x:c r="H131" s="117"/>
      <x:c r="I131" s="117"/>
      <x:c r="J131" s="117"/>
      <x:c r="K131" s="117"/>
    </x:row>
    <x:row r="132">
      <x:c r="A132" s="117"/>
      <x:c r="B132" s="117"/>
      <x:c r="C132" s="117"/>
      <x:c r="D132" s="117"/>
      <x:c r="E132" s="117"/>
      <x:c r="F132" s="117"/>
      <x:c r="G132" s="117"/>
      <x:c r="H132" s="117"/>
      <x:c r="I132" s="117"/>
      <x:c r="J132" s="117"/>
      <x:c r="K132" s="117"/>
    </x:row>
    <x:row r="133">
      <x:c r="A133" s="117"/>
      <x:c r="B133" s="117"/>
      <x:c r="C133" s="117"/>
      <x:c r="D133" s="117"/>
      <x:c r="E133" s="117"/>
      <x:c r="F133" s="117"/>
      <x:c r="G133" s="117"/>
      <x:c r="H133" s="117"/>
      <x:c r="I133" s="117"/>
      <x:c r="J133" s="117"/>
      <x:c r="K133" s="117"/>
    </x:row>
    <x:row r="134">
      <x:c r="A134" s="117"/>
      <x:c r="B134" s="117"/>
      <x:c r="C134" s="117"/>
      <x:c r="D134" s="117"/>
      <x:c r="E134" s="117"/>
      <x:c r="F134" s="117"/>
      <x:c r="G134" s="117"/>
      <x:c r="H134" s="117"/>
      <x:c r="I134" s="117"/>
      <x:c r="J134" s="117"/>
      <x:c r="K134" s="117"/>
    </x:row>
    <x:row r="135">
      <x:c r="A135" s="117"/>
      <x:c r="B135" s="117"/>
      <x:c r="C135" s="117"/>
      <x:c r="D135" s="117"/>
      <x:c r="E135" s="117"/>
      <x:c r="F135" s="117"/>
      <x:c r="G135" s="117"/>
      <x:c r="H135" s="117"/>
      <x:c r="I135" s="117"/>
      <x:c r="J135" s="117"/>
      <x:c r="K135" s="117"/>
    </x:row>
    <x:row r="136">
      <x:c r="A136" s="117"/>
      <x:c r="B136" s="117"/>
      <x:c r="C136" s="117"/>
      <x:c r="D136" s="117"/>
      <x:c r="E136" s="117"/>
      <x:c r="F136" s="117"/>
      <x:c r="G136" s="117"/>
      <x:c r="H136" s="117"/>
      <x:c r="I136" s="117"/>
      <x:c r="J136" s="117"/>
      <x:c r="K136" s="117"/>
    </x:row>
    <x:row r="137">
      <x:c r="A137" s="117"/>
      <x:c r="B137" s="117"/>
      <x:c r="C137" s="117"/>
      <x:c r="D137" s="117"/>
      <x:c r="E137" s="117"/>
      <x:c r="F137" s="117"/>
      <x:c r="G137" s="117"/>
      <x:c r="H137" s="117"/>
      <x:c r="I137" s="117"/>
      <x:c r="J137" s="117"/>
      <x:c r="K137" s="117"/>
    </x:row>
    <x:row r="138">
      <x:c r="A138" s="117"/>
      <x:c r="B138" s="117"/>
      <x:c r="C138" s="117"/>
      <x:c r="D138" s="117"/>
      <x:c r="E138" s="117"/>
      <x:c r="F138" s="117"/>
      <x:c r="G138" s="117"/>
      <x:c r="H138" s="117"/>
      <x:c r="I138" s="117"/>
      <x:c r="J138" s="117"/>
      <x:c r="K138" s="117"/>
    </x:row>
    <x:row r="139">
      <x:c r="A139" s="117"/>
      <x:c r="B139" s="117"/>
      <x:c r="C139" s="117"/>
      <x:c r="D139" s="117"/>
      <x:c r="E139" s="117"/>
      <x:c r="F139" s="117"/>
      <x:c r="G139" s="117"/>
      <x:c r="H139" s="117"/>
      <x:c r="I139" s="117"/>
      <x:c r="J139" s="117"/>
      <x:c r="K139" s="117"/>
    </x:row>
    <x:row r="140">
      <x:c r="A140" s="117"/>
      <x:c r="B140" s="117"/>
      <x:c r="C140" s="117"/>
      <x:c r="D140" s="117"/>
      <x:c r="E140" s="117"/>
      <x:c r="F140" s="117"/>
      <x:c r="G140" s="117"/>
      <x:c r="H140" s="117"/>
      <x:c r="I140" s="117"/>
      <x:c r="J140" s="117"/>
      <x:c r="K140" s="117"/>
    </x:row>
    <x:row r="141">
      <x:c r="A141" s="117"/>
      <x:c r="B141" s="117"/>
      <x:c r="C141" s="117"/>
      <x:c r="D141" s="117"/>
      <x:c r="E141" s="117"/>
      <x:c r="F141" s="117"/>
      <x:c r="G141" s="117"/>
      <x:c r="H141" s="117"/>
      <x:c r="I141" s="117"/>
      <x:c r="J141" s="117"/>
      <x:c r="K141" s="117"/>
    </x:row>
    <x:row r="142">
      <x:c r="A142" s="117"/>
      <x:c r="B142" s="117"/>
      <x:c r="C142" s="117"/>
      <x:c r="D142" s="117"/>
      <x:c r="E142" s="117"/>
      <x:c r="F142" s="117"/>
      <x:c r="G142" s="117"/>
      <x:c r="H142" s="117"/>
      <x:c r="I142" s="117"/>
      <x:c r="J142" s="117"/>
      <x:c r="K142" s="117"/>
    </x:row>
    <x:row r="143">
      <x:c r="A143" s="117"/>
      <x:c r="B143" s="117"/>
      <x:c r="C143" s="117"/>
      <x:c r="D143" s="117"/>
      <x:c r="E143" s="117"/>
      <x:c r="F143" s="117"/>
      <x:c r="G143" s="117"/>
      <x:c r="H143" s="117"/>
      <x:c r="I143" s="117"/>
      <x:c r="J143" s="117"/>
      <x:c r="K143" s="117"/>
    </x:row>
    <x:row r="144">
      <x:c r="A144" s="117"/>
      <x:c r="B144" s="117"/>
      <x:c r="C144" s="117"/>
      <x:c r="D144" s="117"/>
      <x:c r="E144" s="117"/>
      <x:c r="F144" s="117"/>
      <x:c r="G144" s="117"/>
      <x:c r="H144" s="117"/>
      <x:c r="I144" s="117"/>
      <x:c r="J144" s="117"/>
      <x:c r="K144" s="117"/>
    </x:row>
    <x:row r="145">
      <x:c r="A145" s="117"/>
      <x:c r="B145" s="117"/>
      <x:c r="C145" s="117"/>
      <x:c r="D145" s="117"/>
      <x:c r="E145" s="117"/>
      <x:c r="F145" s="117"/>
      <x:c r="G145" s="117"/>
      <x:c r="H145" s="117"/>
      <x:c r="I145" s="117"/>
      <x:c r="J145" s="117"/>
      <x:c r="K145" s="117"/>
    </x:row>
    <x:row r="146">
      <x:c r="A146" s="117"/>
      <x:c r="B146" s="117"/>
      <x:c r="C146" s="117"/>
      <x:c r="D146" s="117"/>
      <x:c r="E146" s="117"/>
      <x:c r="F146" s="117"/>
      <x:c r="G146" s="117"/>
      <x:c r="H146" s="117"/>
      <x:c r="I146" s="117"/>
      <x:c r="J146" s="117"/>
      <x:c r="K146" s="117"/>
    </x:row>
    <x:row r="147">
      <x:c r="A147" s="117"/>
      <x:c r="B147" s="117"/>
      <x:c r="C147" s="117"/>
      <x:c r="D147" s="117"/>
      <x:c r="E147" s="117"/>
      <x:c r="F147" s="117"/>
      <x:c r="G147" s="117"/>
      <x:c r="H147" s="117"/>
      <x:c r="I147" s="117"/>
      <x:c r="J147" s="117"/>
      <x:c r="K147" s="117"/>
    </x:row>
    <x:row r="148">
      <x:c r="A148" s="117"/>
      <x:c r="B148" s="117"/>
      <x:c r="C148" s="117"/>
      <x:c r="D148" s="117"/>
      <x:c r="E148" s="117"/>
      <x:c r="F148" s="117"/>
      <x:c r="G148" s="117"/>
      <x:c r="H148" s="117"/>
      <x:c r="I148" s="117"/>
      <x:c r="J148" s="117"/>
      <x:c r="K148" s="117"/>
    </x:row>
    <x:row r="149">
      <x:c r="A149" s="117"/>
      <x:c r="B149" s="117"/>
      <x:c r="C149" s="117"/>
      <x:c r="D149" s="117"/>
      <x:c r="E149" s="117"/>
      <x:c r="F149" s="117"/>
      <x:c r="G149" s="117"/>
      <x:c r="H149" s="117"/>
      <x:c r="I149" s="117"/>
      <x:c r="J149" s="117"/>
      <x:c r="K149" s="117"/>
    </x:row>
    <x:row r="150">
      <x:c r="A150" s="117"/>
      <x:c r="B150" s="117"/>
      <x:c r="C150" s="117"/>
      <x:c r="D150" s="117"/>
      <x:c r="E150" s="117"/>
      <x:c r="F150" s="117"/>
      <x:c r="G150" s="117"/>
      <x:c r="H150" s="117"/>
      <x:c r="I150" s="117"/>
      <x:c r="J150" s="117"/>
      <x:c r="K150" s="117"/>
    </x:row>
    <x:row r="151">
      <x:c r="A151" s="117"/>
      <x:c r="B151" s="117"/>
      <x:c r="C151" s="117"/>
      <x:c r="D151" s="117"/>
      <x:c r="E151" s="117"/>
      <x:c r="F151" s="117"/>
      <x:c r="G151" s="117"/>
      <x:c r="H151" s="117"/>
      <x:c r="I151" s="117"/>
      <x:c r="J151" s="117"/>
      <x:c r="K151" s="117"/>
    </x:row>
    <x:row r="152">
      <x:c r="A152" s="117"/>
      <x:c r="B152" s="117"/>
      <x:c r="C152" s="117"/>
      <x:c r="D152" s="117"/>
      <x:c r="E152" s="117"/>
      <x:c r="F152" s="117"/>
      <x:c r="G152" s="117"/>
      <x:c r="H152" s="117"/>
      <x:c r="I152" s="117"/>
      <x:c r="J152" s="117"/>
      <x:c r="K152" s="117"/>
    </x:row>
    <x:row r="153">
      <x:c r="A153" s="117"/>
      <x:c r="B153" s="117"/>
      <x:c r="C153" s="117"/>
      <x:c r="D153" s="117"/>
      <x:c r="E153" s="117"/>
      <x:c r="F153" s="117"/>
      <x:c r="G153" s="117"/>
      <x:c r="H153" s="117"/>
      <x:c r="I153" s="117"/>
      <x:c r="J153" s="117"/>
      <x:c r="K153" s="117"/>
    </x:row>
    <x:row r="154">
      <x:c r="A154" s="117"/>
      <x:c r="B154" s="117"/>
      <x:c r="C154" s="117"/>
      <x:c r="D154" s="117"/>
      <x:c r="E154" s="117"/>
      <x:c r="F154" s="117"/>
      <x:c r="G154" s="117"/>
      <x:c r="H154" s="117"/>
      <x:c r="I154" s="117"/>
      <x:c r="J154" s="117"/>
      <x:c r="K154" s="117"/>
    </x:row>
    <x:row r="155">
      <x:c r="A155" s="117"/>
      <x:c r="B155" s="117"/>
      <x:c r="C155" s="117"/>
      <x:c r="D155" s="117"/>
      <x:c r="E155" s="117"/>
      <x:c r="F155" s="117"/>
      <x:c r="G155" s="117"/>
      <x:c r="H155" s="117"/>
      <x:c r="I155" s="117"/>
      <x:c r="J155" s="117"/>
      <x:c r="K155" s="117"/>
    </x:row>
    <x:row r="156">
      <x:c r="A156" s="117"/>
      <x:c r="B156" s="117"/>
      <x:c r="C156" s="117"/>
      <x:c r="D156" s="117"/>
      <x:c r="E156" s="117"/>
      <x:c r="F156" s="117"/>
      <x:c r="G156" s="117"/>
      <x:c r="H156" s="117"/>
      <x:c r="I156" s="117"/>
      <x:c r="J156" s="117"/>
      <x:c r="K156" s="117"/>
    </x:row>
    <x:row r="157">
      <x:c r="A157" s="117"/>
      <x:c r="B157" s="117"/>
      <x:c r="C157" s="117"/>
      <x:c r="D157" s="117"/>
      <x:c r="E157" s="117"/>
      <x:c r="F157" s="117"/>
      <x:c r="G157" s="117"/>
      <x:c r="H157" s="117"/>
      <x:c r="I157" s="117"/>
      <x:c r="J157" s="117"/>
      <x:c r="K157" s="117"/>
    </x:row>
    <x:row r="158">
      <x:c r="A158" s="117"/>
      <x:c r="B158" s="117"/>
      <x:c r="C158" s="117"/>
      <x:c r="D158" s="117"/>
      <x:c r="E158" s="117"/>
      <x:c r="F158" s="117"/>
      <x:c r="G158" s="117"/>
      <x:c r="H158" s="117"/>
      <x:c r="I158" s="117"/>
      <x:c r="J158" s="117"/>
      <x:c r="K158" s="117"/>
    </x:row>
    <x:row r="159">
      <x:c r="A159" s="117"/>
      <x:c r="B159" s="117"/>
      <x:c r="C159" s="117"/>
      <x:c r="D159" s="117"/>
      <x:c r="E159" s="117"/>
      <x:c r="F159" s="117"/>
      <x:c r="G159" s="117"/>
      <x:c r="H159" s="117"/>
      <x:c r="I159" s="117"/>
      <x:c r="J159" s="117"/>
      <x:c r="K159" s="117"/>
    </x:row>
    <x:row r="160">
      <x:c r="A160" s="117"/>
      <x:c r="B160" s="117"/>
      <x:c r="C160" s="117"/>
      <x:c r="D160" s="117"/>
      <x:c r="E160" s="117"/>
      <x:c r="F160" s="117"/>
      <x:c r="G160" s="117"/>
      <x:c r="H160" s="117"/>
      <x:c r="I160" s="117"/>
      <x:c r="J160" s="117"/>
      <x:c r="K160" s="117"/>
    </x:row>
    <x:row r="161">
      <x:c r="A161" s="117"/>
      <x:c r="B161" s="117"/>
      <x:c r="C161" s="117"/>
      <x:c r="D161" s="117"/>
      <x:c r="E161" s="117"/>
      <x:c r="F161" s="117"/>
      <x:c r="G161" s="117"/>
      <x:c r="H161" s="117"/>
      <x:c r="I161" s="117"/>
      <x:c r="J161" s="117"/>
      <x:c r="K161" s="117"/>
    </x:row>
    <x:row r="162">
      <x:c r="A162" s="117"/>
      <x:c r="B162" s="117"/>
      <x:c r="C162" s="117"/>
      <x:c r="D162" s="117"/>
      <x:c r="E162" s="117"/>
      <x:c r="F162" s="117"/>
      <x:c r="G162" s="117"/>
      <x:c r="H162" s="117"/>
      <x:c r="I162" s="117"/>
      <x:c r="J162" s="117"/>
      <x:c r="K162" s="117"/>
    </x:row>
    <x:row r="163">
      <x:c r="A163" s="117"/>
      <x:c r="B163" s="117"/>
      <x:c r="C163" s="117"/>
      <x:c r="D163" s="117"/>
      <x:c r="E163" s="117"/>
      <x:c r="F163" s="117"/>
      <x:c r="G163" s="117"/>
      <x:c r="H163" s="117"/>
      <x:c r="I163" s="117"/>
      <x:c r="J163" s="117"/>
      <x:c r="K163" s="117"/>
    </x:row>
    <x:row r="164">
      <x:c r="A164" s="117"/>
      <x:c r="B164" s="117"/>
      <x:c r="C164" s="117"/>
      <x:c r="D164" s="117"/>
      <x:c r="E164" s="117"/>
      <x:c r="F164" s="117"/>
      <x:c r="G164" s="117"/>
      <x:c r="H164" s="117"/>
      <x:c r="I164" s="117"/>
      <x:c r="J164" s="117"/>
      <x:c r="K164" s="117"/>
    </x:row>
    <x:row r="165">
      <x:c r="A165" s="117"/>
      <x:c r="B165" s="117"/>
      <x:c r="C165" s="117"/>
      <x:c r="D165" s="117"/>
      <x:c r="E165" s="117"/>
      <x:c r="F165" s="117"/>
      <x:c r="G165" s="117"/>
      <x:c r="H165" s="117"/>
      <x:c r="I165" s="117"/>
      <x:c r="J165" s="117"/>
      <x:c r="K165" s="117"/>
    </x:row>
    <x:row r="166">
      <x:c r="A166" s="117"/>
      <x:c r="B166" s="117"/>
      <x:c r="C166" s="117"/>
      <x:c r="D166" s="117"/>
      <x:c r="E166" s="117"/>
      <x:c r="F166" s="117"/>
      <x:c r="G166" s="117"/>
      <x:c r="H166" s="117"/>
      <x:c r="I166" s="117"/>
      <x:c r="J166" s="117"/>
      <x:c r="K166" s="117"/>
    </x:row>
    <x:row r="167">
      <x:c r="A167" s="117"/>
      <x:c r="B167" s="117"/>
      <x:c r="C167" s="117"/>
      <x:c r="D167" s="117"/>
      <x:c r="E167" s="117"/>
      <x:c r="F167" s="117"/>
      <x:c r="G167" s="117"/>
      <x:c r="H167" s="117"/>
      <x:c r="I167" s="117"/>
      <x:c r="J167" s="117"/>
      <x:c r="K167" s="117"/>
    </x:row>
    <x:row r="168">
      <x:c r="A168" s="117"/>
      <x:c r="B168" s="117"/>
      <x:c r="C168" s="117"/>
      <x:c r="D168" s="117"/>
      <x:c r="E168" s="117"/>
      <x:c r="F168" s="117"/>
      <x:c r="G168" s="117"/>
      <x:c r="H168" s="117"/>
      <x:c r="I168" s="117"/>
      <x:c r="J168" s="117"/>
      <x:c r="K168" s="117"/>
    </x:row>
    <x:row r="169">
      <x:c r="A169" s="117"/>
      <x:c r="B169" s="117"/>
      <x:c r="C169" s="117"/>
      <x:c r="D169" s="117"/>
      <x:c r="E169" s="117"/>
      <x:c r="F169" s="117"/>
      <x:c r="G169" s="117"/>
      <x:c r="H169" s="117"/>
      <x:c r="I169" s="117"/>
      <x:c r="J169" s="117"/>
      <x:c r="K169" s="117"/>
    </x:row>
    <x:row r="170">
      <x:c r="A170" s="117"/>
      <x:c r="B170" s="117"/>
      <x:c r="C170" s="117"/>
      <x:c r="D170" s="117"/>
      <x:c r="E170" s="117"/>
      <x:c r="F170" s="117"/>
      <x:c r="G170" s="117"/>
      <x:c r="H170" s="117"/>
      <x:c r="I170" s="117"/>
      <x:c r="J170" s="117"/>
      <x:c r="K170" s="117"/>
    </x:row>
    <x:row r="171">
      <x:c r="A171" s="117"/>
      <x:c r="B171" s="117"/>
      <x:c r="C171" s="117"/>
      <x:c r="D171" s="117"/>
      <x:c r="E171" s="117"/>
      <x:c r="F171" s="117"/>
      <x:c r="G171" s="117"/>
      <x:c r="H171" s="117"/>
      <x:c r="I171" s="117"/>
      <x:c r="J171" s="117"/>
      <x:c r="K171" s="117"/>
    </x:row>
    <x:row r="172">
      <x:c r="A172" s="117"/>
      <x:c r="B172" s="117"/>
      <x:c r="C172" s="117"/>
      <x:c r="D172" s="117"/>
      <x:c r="E172" s="117"/>
      <x:c r="F172" s="117"/>
      <x:c r="G172" s="117"/>
      <x:c r="H172" s="117"/>
      <x:c r="I172" s="117"/>
      <x:c r="J172" s="117"/>
      <x:c r="K172" s="117"/>
    </x:row>
    <x:row r="173">
      <x:c r="A173" s="117"/>
      <x:c r="B173" s="117"/>
      <x:c r="C173" s="117"/>
      <x:c r="D173" s="117"/>
      <x:c r="E173" s="117"/>
      <x:c r="F173" s="117"/>
      <x:c r="G173" s="117"/>
      <x:c r="H173" s="117"/>
      <x:c r="I173" s="117"/>
      <x:c r="J173" s="117"/>
      <x:c r="K173" s="117"/>
    </x:row>
    <x:row r="174">
      <x:c r="A174" s="117"/>
      <x:c r="B174" s="117"/>
      <x:c r="C174" s="117"/>
      <x:c r="D174" s="117"/>
      <x:c r="E174" s="117"/>
      <x:c r="F174" s="117"/>
      <x:c r="G174" s="117"/>
      <x:c r="H174" s="117"/>
      <x:c r="I174" s="117"/>
      <x:c r="J174" s="117"/>
      <x:c r="K174" s="117"/>
    </x:row>
    <x:row r="175">
      <x:c r="A175" s="117"/>
      <x:c r="B175" s="117"/>
      <x:c r="C175" s="117"/>
      <x:c r="D175" s="117"/>
      <x:c r="E175" s="117"/>
      <x:c r="F175" s="117"/>
      <x:c r="G175" s="117"/>
      <x:c r="H175" s="117"/>
      <x:c r="I175" s="117"/>
      <x:c r="J175" s="117"/>
      <x:c r="K175" s="117"/>
    </x:row>
    <x:row r="176">
      <x:c r="A176" s="117"/>
      <x:c r="B176" s="117"/>
      <x:c r="C176" s="117"/>
      <x:c r="D176" s="117"/>
      <x:c r="E176" s="117"/>
      <x:c r="F176" s="117"/>
      <x:c r="G176" s="117"/>
      <x:c r="H176" s="117"/>
      <x:c r="I176" s="117"/>
      <x:c r="J176" s="117"/>
      <x:c r="K176" s="117"/>
    </x:row>
    <x:row r="177">
      <x:c r="A177" s="117"/>
      <x:c r="B177" s="117"/>
      <x:c r="C177" s="117"/>
      <x:c r="D177" s="117"/>
      <x:c r="E177" s="117"/>
      <x:c r="F177" s="117"/>
      <x:c r="G177" s="117"/>
      <x:c r="H177" s="117"/>
      <x:c r="I177" s="117"/>
      <x:c r="J177" s="117"/>
      <x:c r="K177" s="117"/>
    </x:row>
    <x:row r="178">
      <x:c r="A178" s="117"/>
      <x:c r="B178" s="117"/>
      <x:c r="C178" s="117"/>
      <x:c r="D178" s="117"/>
      <x:c r="E178" s="117"/>
      <x:c r="F178" s="117"/>
      <x:c r="G178" s="117"/>
      <x:c r="H178" s="117"/>
      <x:c r="I178" s="117"/>
      <x:c r="J178" s="117"/>
      <x:c r="K178" s="117"/>
    </x:row>
    <x:row r="179">
      <x:c r="A179" s="117"/>
      <x:c r="B179" s="117"/>
      <x:c r="C179" s="117"/>
      <x:c r="D179" s="117"/>
      <x:c r="E179" s="117"/>
      <x:c r="F179" s="117"/>
      <x:c r="G179" s="117"/>
      <x:c r="H179" s="117"/>
      <x:c r="I179" s="117"/>
      <x:c r="J179" s="117"/>
      <x:c r="K179" s="117"/>
    </x:row>
    <x:row r="180">
      <x:c r="A180" s="117"/>
      <x:c r="B180" s="117"/>
      <x:c r="C180" s="117"/>
      <x:c r="D180" s="117"/>
      <x:c r="E180" s="117"/>
      <x:c r="F180" s="117"/>
      <x:c r="G180" s="117"/>
      <x:c r="H180" s="117"/>
      <x:c r="I180" s="117"/>
      <x:c r="J180" s="117"/>
      <x:c r="K180" s="117"/>
    </x:row>
    <x:row r="181">
      <x:c r="A181" s="117"/>
      <x:c r="B181" s="117"/>
      <x:c r="C181" s="117"/>
      <x:c r="D181" s="117"/>
      <x:c r="E181" s="117"/>
      <x:c r="F181" s="117"/>
      <x:c r="G181" s="117"/>
      <x:c r="H181" s="117"/>
      <x:c r="I181" s="117"/>
      <x:c r="J181" s="117"/>
      <x:c r="K181" s="117"/>
    </x:row>
    <x:row r="182">
      <x:c r="A182" s="117"/>
      <x:c r="B182" s="117"/>
      <x:c r="C182" s="117"/>
      <x:c r="D182" s="117"/>
      <x:c r="E182" s="117"/>
      <x:c r="F182" s="117"/>
      <x:c r="G182" s="117"/>
      <x:c r="H182" s="117"/>
      <x:c r="I182" s="117"/>
      <x:c r="J182" s="117"/>
      <x:c r="K182" s="117"/>
    </x:row>
    <x:row r="183">
      <x:c r="A183" s="117"/>
      <x:c r="B183" s="117"/>
      <x:c r="C183" s="117"/>
      <x:c r="D183" s="117"/>
      <x:c r="E183" s="117"/>
      <x:c r="F183" s="117"/>
      <x:c r="G183" s="117"/>
      <x:c r="H183" s="117"/>
      <x:c r="I183" s="117"/>
      <x:c r="J183" s="117"/>
      <x:c r="K183" s="117"/>
    </x:row>
    <x:row r="184">
      <x:c r="A184" s="117"/>
      <x:c r="B184" s="117"/>
      <x:c r="C184" s="117"/>
      <x:c r="D184" s="117"/>
      <x:c r="E184" s="117"/>
      <x:c r="F184" s="117"/>
      <x:c r="G184" s="117"/>
      <x:c r="H184" s="117"/>
      <x:c r="I184" s="117"/>
      <x:c r="J184" s="117"/>
      <x:c r="K184" s="117"/>
    </x:row>
    <x:row r="185">
      <x:c r="A185" s="117"/>
      <x:c r="B185" s="117"/>
      <x:c r="C185" s="117"/>
      <x:c r="D185" s="117"/>
      <x:c r="E185" s="117"/>
      <x:c r="F185" s="117"/>
      <x:c r="G185" s="117"/>
      <x:c r="H185" s="117"/>
      <x:c r="I185" s="117"/>
      <x:c r="J185" s="117"/>
      <x:c r="K185" s="117"/>
    </x:row>
    <x:row r="186">
      <x:c r="A186" s="117"/>
      <x:c r="B186" s="117"/>
      <x:c r="C186" s="117"/>
      <x:c r="D186" s="117"/>
      <x:c r="E186" s="117"/>
      <x:c r="F186" s="117"/>
      <x:c r="G186" s="117"/>
      <x:c r="H186" s="117"/>
      <x:c r="I186" s="117"/>
      <x:c r="J186" s="117"/>
      <x:c r="K186" s="117"/>
    </x:row>
    <x:row r="187">
      <x:c r="A187" s="117"/>
      <x:c r="B187" s="117"/>
      <x:c r="C187" s="117"/>
      <x:c r="D187" s="117"/>
      <x:c r="E187" s="117"/>
      <x:c r="F187" s="117"/>
      <x:c r="G187" s="117"/>
      <x:c r="H187" s="117"/>
      <x:c r="I187" s="117"/>
      <x:c r="J187" s="117"/>
      <x:c r="K187" s="117"/>
    </x:row>
    <x:row r="188">
      <x:c r="A188" s="117"/>
      <x:c r="B188" s="117"/>
      <x:c r="C188" s="117"/>
      <x:c r="D188" s="117"/>
      <x:c r="E188" s="117"/>
      <x:c r="F188" s="117"/>
      <x:c r="G188" s="117"/>
      <x:c r="H188" s="117"/>
      <x:c r="I188" s="117"/>
      <x:c r="J188" s="117"/>
      <x:c r="K188" s="117"/>
    </x:row>
    <x:row r="189">
      <x:c r="A189" s="117"/>
      <x:c r="B189" s="117"/>
      <x:c r="C189" s="117"/>
      <x:c r="D189" s="117"/>
      <x:c r="E189" s="117"/>
      <x:c r="F189" s="117"/>
      <x:c r="G189" s="117"/>
      <x:c r="H189" s="117"/>
      <x:c r="I189" s="117"/>
      <x:c r="J189" s="117"/>
      <x:c r="K189" s="117"/>
    </x:row>
    <x:row r="190">
      <x:c r="A190" s="117"/>
      <x:c r="B190" s="117"/>
      <x:c r="C190" s="117"/>
      <x:c r="D190" s="117"/>
      <x:c r="E190" s="117"/>
      <x:c r="F190" s="117"/>
      <x:c r="G190" s="117"/>
      <x:c r="H190" s="117"/>
      <x:c r="I190" s="117"/>
      <x:c r="J190" s="117"/>
      <x:c r="K190" s="117"/>
    </x:row>
    <x:row r="191">
      <x:c r="A191" s="117"/>
      <x:c r="B191" s="117"/>
      <x:c r="C191" s="117"/>
      <x:c r="D191" s="117"/>
      <x:c r="E191" s="117"/>
      <x:c r="F191" s="117"/>
      <x:c r="G191" s="117"/>
      <x:c r="H191" s="117"/>
      <x:c r="I191" s="117"/>
      <x:c r="J191" s="117"/>
      <x:c r="K191" s="117"/>
    </x:row>
    <x:row r="192">
      <x:c r="A192" s="117"/>
      <x:c r="B192" s="117"/>
      <x:c r="C192" s="117"/>
      <x:c r="D192" s="117"/>
      <x:c r="E192" s="117"/>
      <x:c r="F192" s="117"/>
      <x:c r="G192" s="117"/>
      <x:c r="H192" s="117"/>
      <x:c r="I192" s="117"/>
      <x:c r="J192" s="117"/>
      <x:c r="K192" s="117"/>
    </x:row>
    <x:row r="193">
      <x:c r="A193" s="117"/>
      <x:c r="B193" s="117"/>
      <x:c r="C193" s="117"/>
      <x:c r="D193" s="117"/>
      <x:c r="E193" s="117"/>
      <x:c r="F193" s="117"/>
      <x:c r="G193" s="117"/>
      <x:c r="H193" s="117"/>
      <x:c r="I193" s="117"/>
      <x:c r="J193" s="117"/>
      <x:c r="K193" s="117"/>
    </x:row>
    <x:row r="194">
      <x:c r="A194" s="117"/>
      <x:c r="B194" s="117"/>
      <x:c r="C194" s="117"/>
      <x:c r="D194" s="117"/>
      <x:c r="E194" s="117"/>
      <x:c r="F194" s="117"/>
      <x:c r="G194" s="117"/>
      <x:c r="H194" s="117"/>
      <x:c r="I194" s="117"/>
      <x:c r="J194" s="117"/>
      <x:c r="K194" s="117"/>
    </x:row>
    <x:row r="195">
      <x:c r="A195" s="117"/>
      <x:c r="B195" s="117"/>
      <x:c r="C195" s="117"/>
      <x:c r="D195" s="117"/>
      <x:c r="E195" s="117"/>
      <x:c r="F195" s="117"/>
      <x:c r="G195" s="117"/>
      <x:c r="H195" s="117"/>
      <x:c r="I195" s="117"/>
      <x:c r="J195" s="117"/>
      <x:c r="K195" s="117"/>
    </x:row>
    <x:row r="196">
      <x:c r="A196" s="117"/>
      <x:c r="B196" s="117"/>
      <x:c r="C196" s="117"/>
      <x:c r="D196" s="117"/>
      <x:c r="E196" s="117"/>
      <x:c r="F196" s="117"/>
      <x:c r="G196" s="117"/>
      <x:c r="H196" s="117"/>
      <x:c r="I196" s="117"/>
      <x:c r="J196" s="117"/>
      <x:c r="K196" s="117"/>
    </x:row>
    <x:row r="197">
      <x:c r="A197" s="117"/>
      <x:c r="B197" s="117"/>
      <x:c r="C197" s="117"/>
      <x:c r="D197" s="117"/>
      <x:c r="E197" s="117"/>
      <x:c r="F197" s="117"/>
      <x:c r="G197" s="117"/>
      <x:c r="H197" s="117"/>
      <x:c r="I197" s="117"/>
      <x:c r="J197" s="117"/>
      <x:c r="K197" s="117"/>
    </x:row>
    <x:row r="198">
      <x:c r="A198" s="117"/>
      <x:c r="B198" s="117"/>
      <x:c r="C198" s="117"/>
      <x:c r="D198" s="117"/>
      <x:c r="E198" s="117"/>
      <x:c r="F198" s="117"/>
      <x:c r="G198" s="117"/>
      <x:c r="H198" s="117"/>
      <x:c r="I198" s="117"/>
      <x:c r="J198" s="117"/>
      <x:c r="K198" s="117"/>
    </x:row>
    <x:row r="199">
      <x:c r="A199" s="117"/>
      <x:c r="B199" s="117"/>
      <x:c r="C199" s="117"/>
      <x:c r="D199" s="117"/>
      <x:c r="E199" s="117"/>
      <x:c r="F199" s="117"/>
      <x:c r="G199" s="117"/>
      <x:c r="H199" s="117"/>
      <x:c r="I199" s="117"/>
      <x:c r="J199" s="117"/>
      <x:c r="K199" s="117"/>
    </x:row>
    <x:row r="200">
      <x:c r="A200" s="117"/>
      <x:c r="B200" s="117"/>
      <x:c r="C200" s="117"/>
      <x:c r="D200" s="117"/>
      <x:c r="E200" s="117"/>
      <x:c r="F200" s="117"/>
      <x:c r="G200" s="117"/>
      <x:c r="H200" s="117"/>
      <x:c r="I200" s="117"/>
      <x:c r="J200" s="117"/>
      <x:c r="K200" s="117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bb4f5e3b717476a"/>
  <x:tableParts count="2">
    <x:tablePart xmlns:r="http://schemas.openxmlformats.org/officeDocument/2006/relationships" r:id="Ra39058a1cd5f4381"/>
    <x:tablePart xmlns:r="http://schemas.openxmlformats.org/officeDocument/2006/relationships" r:id="R7938d03356e642a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18" hidden="0" customWidth="1"/>
    <x:col min="5" max="5" width="70" hidden="0" customWidth="1"/>
  </x:cols>
  <x:sheetData>
    <x:row r="1">
      <x:c r="A1" s="128" t="str">
        <x:v>CORRECCIONES QA APLICADAS A LA MATRIZ</x:v>
      </x:c>
      <x:c r="B1" s="128"/>
      <x:c r="C1" s="128"/>
      <x:c r="D1" s="128"/>
      <x:c r="E1" s="128"/>
      <x:c r="F1" s="117"/>
      <x:c r="G1" s="117"/>
      <x:c r="H1" s="117"/>
      <x:c r="I1" s="117"/>
      <x:c r="J1" s="117"/>
      <x:c r="K1" s="117"/>
    </x:row>
    <x:row r="2">
      <x:c r="A2" s="118" t="str">
        <x:v>Esta hoja documenta los ajustes realizados para que la matriz no marque como completadas tareas sin evidencia suficiente de pruebas o implementación.</x:v>
      </x:c>
      <x:c r="B2" s="118"/>
      <x:c r="C2" s="118"/>
      <x:c r="D2" s="118"/>
      <x:c r="E2" s="118"/>
      <x:c r="F2" s="117"/>
      <x:c r="G2" s="117"/>
      <x:c r="H2" s="117"/>
      <x:c r="I2" s="117"/>
      <x:c r="J2" s="117"/>
      <x:c r="K2" s="117"/>
    </x:row>
    <x:row r="3">
      <x:c r="A3" s="117"/>
      <x:c r="B3" s="117"/>
      <x:c r="C3" s="117"/>
      <x:c r="D3" s="117"/>
      <x:c r="E3" s="117"/>
      <x:c r="F3" s="117"/>
      <x:c r="G3" s="117"/>
      <x:c r="H3" s="117"/>
      <x:c r="I3" s="117"/>
      <x:c r="J3" s="117"/>
      <x:c r="K3" s="117"/>
    </x:row>
    <x:row r="4">
      <x:c r="A4" s="130" t="str">
        <x:v>ID del Bolt</x:v>
      </x:c>
      <x:c r="B4" s="130" t="str">
        <x:v>Intent</x:v>
      </x:c>
      <x:c r="C4" s="130" t="str">
        <x:v>Estado original</x:v>
      </x:c>
      <x:c r="D4" s="130" t="str">
        <x:v>Estado corregido</x:v>
      </x:c>
      <x:c r="E4" s="130" t="str">
        <x:v>Motivo de corrección</x:v>
      </x:c>
      <x:c r="F4" s="117"/>
      <x:c r="G4" s="117"/>
      <x:c r="H4" s="117"/>
      <x:c r="I4" s="117"/>
      <x:c r="J4" s="117"/>
      <x:c r="K4" s="117"/>
    </x:row>
    <x:row r="5">
      <x:c r="A5" s="120" t="str">
        <x:v>INT-001-BOLT-006</x:v>
      </x:c>
      <x:c r="B5" s="120" t="str">
        <x:v>INT-001 Configurar base del proyecto y entorno</x:v>
      </x:c>
      <x:c r="C5" s="120" t="str">
        <x:v>Completado</x:v>
      </x:c>
      <x:c r="D5" s="120" t="str">
        <x:v>Observado</x:v>
      </x:c>
      <x:c r="E5" s="120" t="str">
        <x:v>Está completado, pero no tiene evidencia de pruebas ejecutadas.</x:v>
      </x:c>
      <x:c r="F5" s="117"/>
      <x:c r="G5" s="117"/>
      <x:c r="H5" s="117"/>
      <x:c r="I5" s="117"/>
      <x:c r="J5" s="117"/>
      <x:c r="K5" s="117"/>
    </x:row>
    <x:row r="6">
      <x:c r="A6" s="120" t="str">
        <x:v>INT-002-BOLT-007</x:v>
      </x:c>
      <x:c r="B6" s="120" t="str">
        <x:v>INT-002 Autenticación, usuarios y roles</x:v>
      </x:c>
      <x:c r="C6" s="120" t="str">
        <x:v>Completado</x:v>
      </x:c>
      <x:c r="D6" s="120" t="str">
        <x:v>Observado</x:v>
      </x:c>
      <x:c r="E6" s="120" t="str">
        <x:v>Está completado, pero no tiene evidencia de pruebas ejecutadas.</x:v>
      </x:c>
      <x:c r="F6" s="117"/>
      <x:c r="G6" s="117"/>
      <x:c r="H6" s="117"/>
      <x:c r="I6" s="117"/>
      <x:c r="J6" s="117"/>
      <x:c r="K6" s="117"/>
    </x:row>
    <x:row r="7">
      <x:c r="A7" s="120" t="str">
        <x:v>INT-005-BOLT-014</x:v>
      </x:c>
      <x:c r="B7" s="120" t="str">
        <x:v>INT-005 Registro de notas</x:v>
      </x:c>
      <x:c r="C7" s="120" t="str">
        <x:v>Completado</x:v>
      </x:c>
      <x:c r="D7" s="120" t="str">
        <x:v>Observado</x:v>
      </x:c>
      <x:c r="E7" s="120" t="str">
        <x:v>Está completado, pero no tiene evidencia de pruebas ejecutadas.</x:v>
      </x:c>
      <x:c r="F7" s="117"/>
      <x:c r="G7" s="117"/>
      <x:c r="H7" s="117"/>
      <x:c r="I7" s="117"/>
      <x:c r="J7" s="117"/>
      <x:c r="K7" s="117"/>
    </x:row>
    <x:row r="8">
      <x:c r="A8" s="120" t="str">
        <x:v>INT-007-BOLT-011</x:v>
      </x:c>
      <x:c r="B8" s="120" t="str">
        <x:v>INT-007 Registro de asistencia</x:v>
      </x:c>
      <x:c r="C8" s="120" t="str">
        <x:v>Completado</x:v>
      </x:c>
      <x:c r="D8" s="120" t="str">
        <x:v>Observado</x:v>
      </x:c>
      <x:c r="E8" s="120" t="str">
        <x:v>Está completado, pero no tiene evidencia de pruebas ejecutadas.</x:v>
      </x:c>
      <x:c r="F8" s="117"/>
      <x:c r="G8" s="117"/>
      <x:c r="H8" s="117"/>
      <x:c r="I8" s="117"/>
      <x:c r="J8" s="117"/>
      <x:c r="K8" s="117"/>
    </x:row>
    <x:row r="9">
      <x:c r="A9" s="120" t="str">
        <x:v>INT-009-BOLT-001</x:v>
      </x:c>
      <x:c r="B9" s="120" t="str">
        <x:v>INT-009 Reportes conductuales y tutoría</x:v>
      </x:c>
      <x:c r="C9" s="120" t="str">
        <x:v>Completado</x:v>
      </x:c>
      <x:c r="D9" s="120" t="str">
        <x:v>Observado</x:v>
      </x:c>
      <x:c r="E9" s="120" t="str">
        <x:v>Está completado, pero no tiene evidencia de pruebas ejecutadas.</x:v>
      </x:c>
      <x:c r="F9" s="117"/>
      <x:c r="G9" s="117"/>
      <x:c r="H9" s="117"/>
      <x:c r="I9" s="117"/>
      <x:c r="J9" s="117"/>
      <x:c r="K9" s="117"/>
    </x:row>
    <x:row r="10">
      <x:c r="A10" s="120" t="str">
        <x:v>INT-012-BOLT-004</x:v>
      </x:c>
      <x:c r="B10" s="120" t="str">
        <x:v>INT-012 Microservicio de Machine Learning</x:v>
      </x:c>
      <x:c r="C10" s="120" t="str">
        <x:v>Completado</x:v>
      </x:c>
      <x:c r="D10" s="120" t="str">
        <x:v>Observado</x:v>
      </x:c>
      <x:c r="E10" s="120" t="str">
        <x:v>Está completado, pero no tiene evidencia de pruebas ejecutadas.</x:v>
      </x:c>
      <x:c r="F10" s="117"/>
      <x:c r="G10" s="117"/>
      <x:c r="H10" s="117"/>
      <x:c r="I10" s="117"/>
      <x:c r="J10" s="117"/>
      <x:c r="K10" s="117"/>
    </x:row>
    <x:row r="11">
      <x:c r="A11" s="120" t="str">
        <x:v>INT-015-BOLT-013</x:v>
      </x:c>
      <x:c r="B11" s="120" t="str">
        <x:v>INT-015 Dashboard y reportes</x:v>
      </x:c>
      <x:c r="C11" s="120" t="str">
        <x:v>Completado</x:v>
      </x:c>
      <x:c r="D11" s="120" t="str">
        <x:v>Observado</x:v>
      </x:c>
      <x:c r="E11" s="120" t="str">
        <x:v>Está completado, pero no tiene evidencia de pruebas ejecutadas.</x:v>
      </x:c>
      <x:c r="F11" s="117"/>
      <x:c r="G11" s="117"/>
      <x:c r="H11" s="117"/>
      <x:c r="I11" s="117"/>
      <x:c r="J11" s="117"/>
      <x:c r="K11" s="117"/>
    </x:row>
    <x:row r="12">
      <x:c r="A12" s="117"/>
      <x:c r="B12" s="117"/>
      <x:c r="C12" s="117"/>
      <x:c r="D12" s="117"/>
      <x:c r="E12" s="117"/>
      <x:c r="F12" s="117"/>
      <x:c r="G12" s="117"/>
      <x:c r="H12" s="117"/>
      <x:c r="I12" s="117"/>
      <x:c r="J12" s="117"/>
      <x:c r="K12" s="117"/>
    </x:row>
    <x:row r="13">
      <x:c r="A13" s="117"/>
      <x:c r="B13" s="117"/>
      <x:c r="C13" s="117"/>
      <x:c r="D13" s="117"/>
      <x:c r="E13" s="117"/>
      <x:c r="F13" s="117"/>
      <x:c r="G13" s="117"/>
      <x:c r="H13" s="117"/>
      <x:c r="I13" s="117"/>
      <x:c r="J13" s="117"/>
      <x:c r="K13" s="117"/>
    </x:row>
    <x:row r="14">
      <x:c r="A14" s="117"/>
      <x:c r="B14" s="117"/>
      <x:c r="C14" s="117"/>
      <x:c r="D14" s="117"/>
      <x:c r="E14" s="117"/>
      <x:c r="F14" s="117"/>
      <x:c r="G14" s="117"/>
      <x:c r="H14" s="117"/>
      <x:c r="I14" s="117"/>
      <x:c r="J14" s="117"/>
      <x:c r="K14" s="117"/>
    </x:row>
    <x:row r="15">
      <x:c r="A15" s="117"/>
      <x:c r="B15" s="117"/>
      <x:c r="C15" s="117"/>
      <x:c r="D15" s="117"/>
      <x:c r="E15" s="117"/>
      <x:c r="F15" s="117"/>
      <x:c r="G15" s="117"/>
      <x:c r="H15" s="117"/>
      <x:c r="I15" s="117"/>
      <x:c r="J15" s="117"/>
      <x:c r="K15" s="117"/>
    </x:row>
    <x:row r="16">
      <x:c r="A16" s="117"/>
      <x:c r="B16" s="117"/>
      <x:c r="C16" s="117"/>
      <x:c r="D16" s="117"/>
      <x:c r="E16" s="117"/>
      <x:c r="F16" s="117"/>
      <x:c r="G16" s="117"/>
      <x:c r="H16" s="117"/>
      <x:c r="I16" s="117"/>
      <x:c r="J16" s="117"/>
      <x:c r="K16" s="117"/>
    </x:row>
    <x:row r="17">
      <x:c r="A17" s="117"/>
      <x:c r="B17" s="117"/>
      <x:c r="C17" s="117"/>
      <x:c r="D17" s="117"/>
      <x:c r="E17" s="117"/>
      <x:c r="F17" s="117"/>
      <x:c r="G17" s="117"/>
      <x:c r="H17" s="117"/>
      <x:c r="I17" s="117"/>
      <x:c r="J17" s="117"/>
      <x:c r="K17" s="117"/>
    </x:row>
    <x:row r="18">
      <x:c r="A18" s="117"/>
      <x:c r="B18" s="117"/>
      <x:c r="C18" s="117"/>
      <x:c r="D18" s="117"/>
      <x:c r="E18" s="117"/>
      <x:c r="F18" s="117"/>
      <x:c r="G18" s="117"/>
      <x:c r="H18" s="117"/>
      <x:c r="I18" s="117"/>
      <x:c r="J18" s="117"/>
      <x:c r="K18" s="117"/>
    </x:row>
    <x:row r="19">
      <x:c r="A19" s="117"/>
      <x:c r="B19" s="117"/>
      <x:c r="C19" s="117"/>
      <x:c r="D19" s="117"/>
      <x:c r="E19" s="117"/>
      <x:c r="F19" s="117"/>
      <x:c r="G19" s="117"/>
      <x:c r="H19" s="117"/>
      <x:c r="I19" s="117"/>
      <x:c r="J19" s="117"/>
      <x:c r="K19" s="117"/>
    </x:row>
    <x:row r="20">
      <x:c r="A20" s="117"/>
      <x:c r="B20" s="117"/>
      <x:c r="C20" s="117"/>
      <x:c r="D20" s="117"/>
      <x:c r="E20" s="117"/>
      <x:c r="F20" s="117"/>
      <x:c r="G20" s="117"/>
      <x:c r="H20" s="117"/>
      <x:c r="I20" s="117"/>
      <x:c r="J20" s="117"/>
      <x:c r="K20" s="117"/>
    </x:row>
    <x:row r="21">
      <x:c r="A21" s="117"/>
      <x:c r="B21" s="117"/>
      <x:c r="C21" s="117"/>
      <x:c r="D21" s="117"/>
      <x:c r="E21" s="117"/>
      <x:c r="F21" s="117"/>
      <x:c r="G21" s="117"/>
      <x:c r="H21" s="117"/>
      <x:c r="I21" s="117"/>
      <x:c r="J21" s="117"/>
      <x:c r="K21" s="117"/>
    </x:row>
    <x:row r="22">
      <x:c r="A22" s="117"/>
      <x:c r="B22" s="117"/>
      <x:c r="C22" s="117"/>
      <x:c r="D22" s="117"/>
      <x:c r="E22" s="117"/>
      <x:c r="F22" s="117"/>
      <x:c r="G22" s="117"/>
      <x:c r="H22" s="117"/>
      <x:c r="I22" s="117"/>
      <x:c r="J22" s="117"/>
      <x:c r="K22" s="117"/>
    </x:row>
    <x:row r="23">
      <x:c r="A23" s="117"/>
      <x:c r="B23" s="117"/>
      <x:c r="C23" s="117"/>
      <x:c r="D23" s="117"/>
      <x:c r="E23" s="117"/>
      <x:c r="F23" s="117"/>
      <x:c r="G23" s="117"/>
      <x:c r="H23" s="117"/>
      <x:c r="I23" s="117"/>
      <x:c r="J23" s="117"/>
      <x:c r="K23" s="117"/>
    </x:row>
    <x:row r="24">
      <x:c r="A24" s="117"/>
      <x:c r="B24" s="117"/>
      <x:c r="C24" s="117"/>
      <x:c r="D24" s="117"/>
      <x:c r="E24" s="117"/>
      <x:c r="F24" s="117"/>
      <x:c r="G24" s="117"/>
      <x:c r="H24" s="117"/>
      <x:c r="I24" s="117"/>
      <x:c r="J24" s="117"/>
      <x:c r="K24" s="117"/>
    </x:row>
    <x:row r="25">
      <x:c r="A25" s="117"/>
      <x:c r="B25" s="117"/>
      <x:c r="C25" s="117"/>
      <x:c r="D25" s="117"/>
      <x:c r="E25" s="117"/>
      <x:c r="F25" s="117"/>
      <x:c r="G25" s="117"/>
      <x:c r="H25" s="117"/>
      <x:c r="I25" s="117"/>
      <x:c r="J25" s="117"/>
      <x:c r="K25" s="117"/>
    </x:row>
    <x:row r="26">
      <x:c r="A26" s="117"/>
      <x:c r="B26" s="117"/>
      <x:c r="C26" s="117"/>
      <x:c r="D26" s="117"/>
      <x:c r="E26" s="117"/>
      <x:c r="F26" s="117"/>
      <x:c r="G26" s="117"/>
      <x:c r="H26" s="117"/>
      <x:c r="I26" s="117"/>
      <x:c r="J26" s="117"/>
      <x:c r="K26" s="117"/>
    </x:row>
    <x:row r="27">
      <x:c r="A27" s="117"/>
      <x:c r="B27" s="117"/>
      <x:c r="C27" s="117"/>
      <x:c r="D27" s="117"/>
      <x:c r="E27" s="117"/>
      <x:c r="F27" s="117"/>
      <x:c r="G27" s="117"/>
      <x:c r="H27" s="117"/>
      <x:c r="I27" s="117"/>
      <x:c r="J27" s="117"/>
      <x:c r="K27" s="117"/>
    </x:row>
    <x:row r="28">
      <x:c r="A28" s="117"/>
      <x:c r="B28" s="117"/>
      <x:c r="C28" s="117"/>
      <x:c r="D28" s="117"/>
      <x:c r="E28" s="117"/>
      <x:c r="F28" s="117"/>
      <x:c r="G28" s="117"/>
      <x:c r="H28" s="117"/>
      <x:c r="I28" s="117"/>
      <x:c r="J28" s="117"/>
      <x:c r="K28" s="117"/>
    </x:row>
    <x:row r="29">
      <x:c r="A29" s="117"/>
      <x:c r="B29" s="117"/>
      <x:c r="C29" s="117"/>
      <x:c r="D29" s="117"/>
      <x:c r="E29" s="117"/>
      <x:c r="F29" s="117"/>
      <x:c r="G29" s="117"/>
      <x:c r="H29" s="117"/>
      <x:c r="I29" s="117"/>
      <x:c r="J29" s="117"/>
      <x:c r="K29" s="117"/>
    </x:row>
    <x:row r="30">
      <x:c r="A30" s="117"/>
      <x:c r="B30" s="117"/>
      <x:c r="C30" s="117"/>
      <x:c r="D30" s="117"/>
      <x:c r="E30" s="117"/>
      <x:c r="F30" s="117"/>
      <x:c r="G30" s="117"/>
      <x:c r="H30" s="117"/>
      <x:c r="I30" s="117"/>
      <x:c r="J30" s="117"/>
      <x:c r="K30" s="117"/>
    </x:row>
    <x:row r="31">
      <x:c r="A31" s="117"/>
      <x:c r="B31" s="117"/>
      <x:c r="C31" s="117"/>
      <x:c r="D31" s="117"/>
      <x:c r="E31" s="117"/>
      <x:c r="F31" s="117"/>
      <x:c r="G31" s="117"/>
      <x:c r="H31" s="117"/>
      <x:c r="I31" s="117"/>
      <x:c r="J31" s="117"/>
      <x:c r="K31" s="117"/>
    </x:row>
    <x:row r="32">
      <x:c r="A32" s="117"/>
      <x:c r="B32" s="117"/>
      <x:c r="C32" s="117"/>
      <x:c r="D32" s="117"/>
      <x:c r="E32" s="117"/>
      <x:c r="F32" s="117"/>
      <x:c r="G32" s="117"/>
      <x:c r="H32" s="117"/>
      <x:c r="I32" s="117"/>
      <x:c r="J32" s="117"/>
      <x:c r="K32" s="117"/>
    </x:row>
    <x:row r="33">
      <x:c r="A33" s="117"/>
      <x:c r="B33" s="117"/>
      <x:c r="C33" s="117"/>
      <x:c r="D33" s="117"/>
      <x:c r="E33" s="117"/>
      <x:c r="F33" s="117"/>
      <x:c r="G33" s="117"/>
      <x:c r="H33" s="117"/>
      <x:c r="I33" s="117"/>
      <x:c r="J33" s="117"/>
      <x:c r="K33" s="117"/>
    </x:row>
    <x:row r="34">
      <x:c r="A34" s="117"/>
      <x:c r="B34" s="117"/>
      <x:c r="C34" s="117"/>
      <x:c r="D34" s="117"/>
      <x:c r="E34" s="117"/>
      <x:c r="F34" s="117"/>
      <x:c r="G34" s="117"/>
      <x:c r="H34" s="117"/>
      <x:c r="I34" s="117"/>
      <x:c r="J34" s="117"/>
      <x:c r="K34" s="117"/>
    </x:row>
    <x:row r="35">
      <x:c r="A35" s="117"/>
      <x:c r="B35" s="117"/>
      <x:c r="C35" s="117"/>
      <x:c r="D35" s="117"/>
      <x:c r="E35" s="117"/>
      <x:c r="F35" s="117"/>
      <x:c r="G35" s="117"/>
      <x:c r="H35" s="117"/>
      <x:c r="I35" s="117"/>
      <x:c r="J35" s="117"/>
      <x:c r="K35" s="117"/>
    </x:row>
    <x:row r="36">
      <x:c r="A36" s="117"/>
      <x:c r="B36" s="117"/>
      <x:c r="C36" s="117"/>
      <x:c r="D36" s="117"/>
      <x:c r="E36" s="117"/>
      <x:c r="F36" s="117"/>
      <x:c r="G36" s="117"/>
      <x:c r="H36" s="117"/>
      <x:c r="I36" s="117"/>
      <x:c r="J36" s="117"/>
      <x:c r="K36" s="117"/>
    </x:row>
    <x:row r="37">
      <x:c r="A37" s="117"/>
      <x:c r="B37" s="117"/>
      <x:c r="C37" s="117"/>
      <x:c r="D37" s="117"/>
      <x:c r="E37" s="117"/>
      <x:c r="F37" s="117"/>
      <x:c r="G37" s="117"/>
      <x:c r="H37" s="117"/>
      <x:c r="I37" s="117"/>
      <x:c r="J37" s="117"/>
      <x:c r="K37" s="117"/>
    </x:row>
    <x:row r="38">
      <x:c r="A38" s="117"/>
      <x:c r="B38" s="117"/>
      <x:c r="C38" s="117"/>
      <x:c r="D38" s="117"/>
      <x:c r="E38" s="117"/>
      <x:c r="F38" s="117"/>
      <x:c r="G38" s="117"/>
      <x:c r="H38" s="117"/>
      <x:c r="I38" s="117"/>
      <x:c r="J38" s="117"/>
      <x:c r="K38" s="117"/>
    </x:row>
    <x:row r="39">
      <x:c r="A39" s="117"/>
      <x:c r="B39" s="117"/>
      <x:c r="C39" s="117"/>
      <x:c r="D39" s="117"/>
      <x:c r="E39" s="117"/>
      <x:c r="F39" s="117"/>
      <x:c r="G39" s="117"/>
      <x:c r="H39" s="117"/>
      <x:c r="I39" s="117"/>
      <x:c r="J39" s="117"/>
      <x:c r="K39" s="117"/>
    </x:row>
    <x:row r="40">
      <x:c r="A40" s="117"/>
      <x:c r="B40" s="117"/>
      <x:c r="C40" s="117"/>
      <x:c r="D40" s="117"/>
      <x:c r="E40" s="117"/>
      <x:c r="F40" s="117"/>
      <x:c r="G40" s="117"/>
      <x:c r="H40" s="117"/>
      <x:c r="I40" s="117"/>
      <x:c r="J40" s="117"/>
      <x:c r="K40" s="117"/>
    </x:row>
    <x:row r="41">
      <x:c r="A41" s="117"/>
      <x:c r="B41" s="117"/>
      <x:c r="C41" s="117"/>
      <x:c r="D41" s="117"/>
      <x:c r="E41" s="117"/>
      <x:c r="F41" s="117"/>
      <x:c r="G41" s="117"/>
      <x:c r="H41" s="117"/>
      <x:c r="I41" s="117"/>
      <x:c r="J41" s="117"/>
      <x:c r="K41" s="117"/>
    </x:row>
    <x:row r="42">
      <x:c r="A42" s="117"/>
      <x:c r="B42" s="117"/>
      <x:c r="C42" s="117"/>
      <x:c r="D42" s="117"/>
      <x:c r="E42" s="117"/>
      <x:c r="F42" s="117"/>
      <x:c r="G42" s="117"/>
      <x:c r="H42" s="117"/>
      <x:c r="I42" s="117"/>
      <x:c r="J42" s="117"/>
      <x:c r="K42" s="117"/>
    </x:row>
    <x:row r="43">
      <x:c r="A43" s="117"/>
      <x:c r="B43" s="117"/>
      <x:c r="C43" s="117"/>
      <x:c r="D43" s="117"/>
      <x:c r="E43" s="117"/>
      <x:c r="F43" s="117"/>
      <x:c r="G43" s="117"/>
      <x:c r="H43" s="117"/>
      <x:c r="I43" s="117"/>
      <x:c r="J43" s="117"/>
      <x:c r="K43" s="117"/>
    </x:row>
    <x:row r="44">
      <x:c r="A44" s="117"/>
      <x:c r="B44" s="117"/>
      <x:c r="C44" s="117"/>
      <x:c r="D44" s="117"/>
      <x:c r="E44" s="117"/>
      <x:c r="F44" s="117"/>
      <x:c r="G44" s="117"/>
      <x:c r="H44" s="117"/>
      <x:c r="I44" s="117"/>
      <x:c r="J44" s="117"/>
      <x:c r="K44" s="117"/>
    </x:row>
    <x:row r="45">
      <x:c r="A45" s="117"/>
      <x:c r="B45" s="117"/>
      <x:c r="C45" s="117"/>
      <x:c r="D45" s="117"/>
      <x:c r="E45" s="117"/>
      <x:c r="F45" s="117"/>
      <x:c r="G45" s="117"/>
      <x:c r="H45" s="117"/>
      <x:c r="I45" s="117"/>
      <x:c r="J45" s="117"/>
      <x:c r="K45" s="117"/>
    </x:row>
    <x:row r="46">
      <x:c r="A46" s="117"/>
      <x:c r="B46" s="117"/>
      <x:c r="C46" s="117"/>
      <x:c r="D46" s="117"/>
      <x:c r="E46" s="117"/>
      <x:c r="F46" s="117"/>
      <x:c r="G46" s="117"/>
      <x:c r="H46" s="117"/>
      <x:c r="I46" s="117"/>
      <x:c r="J46" s="117"/>
      <x:c r="K46" s="117"/>
    </x:row>
    <x:row r="47">
      <x:c r="A47" s="117"/>
      <x:c r="B47" s="117"/>
      <x:c r="C47" s="117"/>
      <x:c r="D47" s="117"/>
      <x:c r="E47" s="117"/>
      <x:c r="F47" s="117"/>
      <x:c r="G47" s="117"/>
      <x:c r="H47" s="117"/>
      <x:c r="I47" s="117"/>
      <x:c r="J47" s="117"/>
      <x:c r="K47" s="117"/>
    </x:row>
    <x:row r="48">
      <x:c r="A48" s="117"/>
      <x:c r="B48" s="117"/>
      <x:c r="C48" s="117"/>
      <x:c r="D48" s="117"/>
      <x:c r="E48" s="117"/>
      <x:c r="F48" s="117"/>
      <x:c r="G48" s="117"/>
      <x:c r="H48" s="117"/>
      <x:c r="I48" s="117"/>
      <x:c r="J48" s="117"/>
      <x:c r="K48" s="117"/>
    </x:row>
    <x:row r="49">
      <x:c r="A49" s="117"/>
      <x:c r="B49" s="117"/>
      <x:c r="C49" s="117"/>
      <x:c r="D49" s="117"/>
      <x:c r="E49" s="117"/>
      <x:c r="F49" s="117"/>
      <x:c r="G49" s="117"/>
      <x:c r="H49" s="117"/>
      <x:c r="I49" s="117"/>
      <x:c r="J49" s="117"/>
      <x:c r="K49" s="117"/>
    </x:row>
    <x:row r="50">
      <x:c r="A50" s="117"/>
      <x:c r="B50" s="117"/>
      <x:c r="C50" s="117"/>
      <x:c r="D50" s="117"/>
      <x:c r="E50" s="117"/>
      <x:c r="F50" s="117"/>
      <x:c r="G50" s="117"/>
      <x:c r="H50" s="117"/>
      <x:c r="I50" s="117"/>
      <x:c r="J50" s="117"/>
      <x:c r="K50" s="117"/>
    </x:row>
    <x:row r="51">
      <x:c r="A51" s="117"/>
      <x:c r="B51" s="117"/>
      <x:c r="C51" s="117"/>
      <x:c r="D51" s="117"/>
      <x:c r="E51" s="117"/>
      <x:c r="F51" s="117"/>
      <x:c r="G51" s="117"/>
      <x:c r="H51" s="117"/>
      <x:c r="I51" s="117"/>
      <x:c r="J51" s="117"/>
      <x:c r="K51" s="117"/>
    </x:row>
    <x:row r="52">
      <x:c r="A52" s="117"/>
      <x:c r="B52" s="117"/>
      <x:c r="C52" s="117"/>
      <x:c r="D52" s="117"/>
      <x:c r="E52" s="117"/>
      <x:c r="F52" s="117"/>
      <x:c r="G52" s="117"/>
      <x:c r="H52" s="117"/>
      <x:c r="I52" s="117"/>
      <x:c r="J52" s="117"/>
      <x:c r="K52" s="117"/>
    </x:row>
    <x:row r="53">
      <x:c r="A53" s="117"/>
      <x:c r="B53" s="117"/>
      <x:c r="C53" s="117"/>
      <x:c r="D53" s="117"/>
      <x:c r="E53" s="117"/>
      <x:c r="F53" s="117"/>
      <x:c r="G53" s="117"/>
      <x:c r="H53" s="117"/>
      <x:c r="I53" s="117"/>
      <x:c r="J53" s="117"/>
      <x:c r="K53" s="117"/>
    </x:row>
    <x:row r="54">
      <x:c r="A54" s="117"/>
      <x:c r="B54" s="117"/>
      <x:c r="C54" s="117"/>
      <x:c r="D54" s="117"/>
      <x:c r="E54" s="117"/>
      <x:c r="F54" s="117"/>
      <x:c r="G54" s="117"/>
      <x:c r="H54" s="117"/>
      <x:c r="I54" s="117"/>
      <x:c r="J54" s="117"/>
      <x:c r="K54" s="117"/>
    </x:row>
    <x:row r="55">
      <x:c r="A55" s="117"/>
      <x:c r="B55" s="117"/>
      <x:c r="C55" s="117"/>
      <x:c r="D55" s="117"/>
      <x:c r="E55" s="117"/>
      <x:c r="F55" s="117"/>
      <x:c r="G55" s="117"/>
      <x:c r="H55" s="117"/>
      <x:c r="I55" s="117"/>
      <x:c r="J55" s="117"/>
      <x:c r="K55" s="117"/>
    </x:row>
    <x:row r="56">
      <x:c r="A56" s="117"/>
      <x:c r="B56" s="117"/>
      <x:c r="C56" s="117"/>
      <x:c r="D56" s="117"/>
      <x:c r="E56" s="117"/>
      <x:c r="F56" s="117"/>
      <x:c r="G56" s="117"/>
      <x:c r="H56" s="117"/>
      <x:c r="I56" s="117"/>
      <x:c r="J56" s="117"/>
      <x:c r="K56" s="117"/>
    </x:row>
    <x:row r="57">
      <x:c r="A57" s="117"/>
      <x:c r="B57" s="117"/>
      <x:c r="C57" s="117"/>
      <x:c r="D57" s="117"/>
      <x:c r="E57" s="117"/>
      <x:c r="F57" s="117"/>
      <x:c r="G57" s="117"/>
      <x:c r="H57" s="117"/>
      <x:c r="I57" s="117"/>
      <x:c r="J57" s="117"/>
      <x:c r="K57" s="117"/>
    </x:row>
    <x:row r="58">
      <x:c r="A58" s="117"/>
      <x:c r="B58" s="117"/>
      <x:c r="C58" s="117"/>
      <x:c r="D58" s="117"/>
      <x:c r="E58" s="117"/>
      <x:c r="F58" s="117"/>
      <x:c r="G58" s="117"/>
      <x:c r="H58" s="117"/>
      <x:c r="I58" s="117"/>
      <x:c r="J58" s="117"/>
      <x:c r="K58" s="117"/>
    </x:row>
    <x:row r="59">
      <x:c r="A59" s="117"/>
      <x:c r="B59" s="117"/>
      <x:c r="C59" s="117"/>
      <x:c r="D59" s="117"/>
      <x:c r="E59" s="117"/>
      <x:c r="F59" s="117"/>
      <x:c r="G59" s="117"/>
      <x:c r="H59" s="117"/>
      <x:c r="I59" s="117"/>
      <x:c r="J59" s="117"/>
      <x:c r="K59" s="117"/>
    </x:row>
    <x:row r="60">
      <x:c r="A60" s="117"/>
      <x:c r="B60" s="117"/>
      <x:c r="C60" s="117"/>
      <x:c r="D60" s="117"/>
      <x:c r="E60" s="117"/>
      <x:c r="F60" s="117"/>
      <x:c r="G60" s="117"/>
      <x:c r="H60" s="117"/>
      <x:c r="I60" s="117"/>
      <x:c r="J60" s="117"/>
      <x:c r="K60" s="117"/>
    </x:row>
    <x:row r="61">
      <x:c r="A61" s="117"/>
      <x:c r="B61" s="117"/>
      <x:c r="C61" s="117"/>
      <x:c r="D61" s="117"/>
      <x:c r="E61" s="117"/>
      <x:c r="F61" s="117"/>
      <x:c r="G61" s="117"/>
      <x:c r="H61" s="117"/>
      <x:c r="I61" s="117"/>
      <x:c r="J61" s="117"/>
      <x:c r="K61" s="117"/>
    </x:row>
    <x:row r="62">
      <x:c r="A62" s="117"/>
      <x:c r="B62" s="117"/>
      <x:c r="C62" s="117"/>
      <x:c r="D62" s="117"/>
      <x:c r="E62" s="117"/>
      <x:c r="F62" s="117"/>
      <x:c r="G62" s="117"/>
      <x:c r="H62" s="117"/>
      <x:c r="I62" s="117"/>
      <x:c r="J62" s="117"/>
      <x:c r="K62" s="117"/>
    </x:row>
    <x:row r="63">
      <x:c r="A63" s="117"/>
      <x:c r="B63" s="117"/>
      <x:c r="C63" s="117"/>
      <x:c r="D63" s="117"/>
      <x:c r="E63" s="117"/>
      <x:c r="F63" s="117"/>
      <x:c r="G63" s="117"/>
      <x:c r="H63" s="117"/>
      <x:c r="I63" s="117"/>
      <x:c r="J63" s="117"/>
      <x:c r="K63" s="117"/>
    </x:row>
    <x:row r="64">
      <x:c r="A64" s="117"/>
      <x:c r="B64" s="117"/>
      <x:c r="C64" s="117"/>
      <x:c r="D64" s="117"/>
      <x:c r="E64" s="117"/>
      <x:c r="F64" s="117"/>
      <x:c r="G64" s="117"/>
      <x:c r="H64" s="117"/>
      <x:c r="I64" s="117"/>
      <x:c r="J64" s="117"/>
      <x:c r="K64" s="117"/>
    </x:row>
    <x:row r="65">
      <x:c r="A65" s="117"/>
      <x:c r="B65" s="117"/>
      <x:c r="C65" s="117"/>
      <x:c r="D65" s="117"/>
      <x:c r="E65" s="117"/>
      <x:c r="F65" s="117"/>
      <x:c r="G65" s="117"/>
      <x:c r="H65" s="117"/>
      <x:c r="I65" s="117"/>
      <x:c r="J65" s="117"/>
      <x:c r="K65" s="117"/>
    </x:row>
    <x:row r="66">
      <x:c r="A66" s="117"/>
      <x:c r="B66" s="117"/>
      <x:c r="C66" s="117"/>
      <x:c r="D66" s="117"/>
      <x:c r="E66" s="117"/>
      <x:c r="F66" s="117"/>
      <x:c r="G66" s="117"/>
      <x:c r="H66" s="117"/>
      <x:c r="I66" s="117"/>
      <x:c r="J66" s="117"/>
      <x:c r="K66" s="117"/>
    </x:row>
    <x:row r="67">
      <x:c r="A67" s="117"/>
      <x:c r="B67" s="117"/>
      <x:c r="C67" s="117"/>
      <x:c r="D67" s="117"/>
      <x:c r="E67" s="117"/>
      <x:c r="F67" s="117"/>
      <x:c r="G67" s="117"/>
      <x:c r="H67" s="117"/>
      <x:c r="I67" s="117"/>
      <x:c r="J67" s="117"/>
      <x:c r="K67" s="117"/>
    </x:row>
    <x:row r="68">
      <x:c r="A68" s="117"/>
      <x:c r="B68" s="117"/>
      <x:c r="C68" s="117"/>
      <x:c r="D68" s="117"/>
      <x:c r="E68" s="117"/>
      <x:c r="F68" s="117"/>
      <x:c r="G68" s="117"/>
      <x:c r="H68" s="117"/>
      <x:c r="I68" s="117"/>
      <x:c r="J68" s="117"/>
      <x:c r="K68" s="117"/>
    </x:row>
    <x:row r="69">
      <x:c r="A69" s="117"/>
      <x:c r="B69" s="117"/>
      <x:c r="C69" s="117"/>
      <x:c r="D69" s="117"/>
      <x:c r="E69" s="117"/>
      <x:c r="F69" s="117"/>
      <x:c r="G69" s="117"/>
      <x:c r="H69" s="117"/>
      <x:c r="I69" s="117"/>
      <x:c r="J69" s="117"/>
      <x:c r="K69" s="117"/>
    </x:row>
    <x:row r="70">
      <x:c r="A70" s="117"/>
      <x:c r="B70" s="117"/>
      <x:c r="C70" s="117"/>
      <x:c r="D70" s="117"/>
      <x:c r="E70" s="117"/>
      <x:c r="F70" s="117"/>
      <x:c r="G70" s="117"/>
      <x:c r="H70" s="117"/>
      <x:c r="I70" s="117"/>
      <x:c r="J70" s="117"/>
      <x:c r="K70" s="117"/>
    </x:row>
    <x:row r="71">
      <x:c r="A71" s="117"/>
      <x:c r="B71" s="117"/>
      <x:c r="C71" s="117"/>
      <x:c r="D71" s="117"/>
      <x:c r="E71" s="117"/>
      <x:c r="F71" s="117"/>
      <x:c r="G71" s="117"/>
      <x:c r="H71" s="117"/>
      <x:c r="I71" s="117"/>
      <x:c r="J71" s="117"/>
      <x:c r="K71" s="117"/>
    </x:row>
    <x:row r="72">
      <x:c r="A72" s="117"/>
      <x:c r="B72" s="117"/>
      <x:c r="C72" s="117"/>
      <x:c r="D72" s="117"/>
      <x:c r="E72" s="117"/>
      <x:c r="F72" s="117"/>
      <x:c r="G72" s="117"/>
      <x:c r="H72" s="117"/>
      <x:c r="I72" s="117"/>
      <x:c r="J72" s="117"/>
      <x:c r="K72" s="117"/>
    </x:row>
    <x:row r="73">
      <x:c r="A73" s="117"/>
      <x:c r="B73" s="117"/>
      <x:c r="C73" s="117"/>
      <x:c r="D73" s="117"/>
      <x:c r="E73" s="117"/>
      <x:c r="F73" s="117"/>
      <x:c r="G73" s="117"/>
      <x:c r="H73" s="117"/>
      <x:c r="I73" s="117"/>
      <x:c r="J73" s="117"/>
      <x:c r="K73" s="117"/>
    </x:row>
    <x:row r="74">
      <x:c r="A74" s="117"/>
      <x:c r="B74" s="117"/>
      <x:c r="C74" s="117"/>
      <x:c r="D74" s="117"/>
      <x:c r="E74" s="117"/>
      <x:c r="F74" s="117"/>
      <x:c r="G74" s="117"/>
      <x:c r="H74" s="117"/>
      <x:c r="I74" s="117"/>
      <x:c r="J74" s="117"/>
      <x:c r="K74" s="117"/>
    </x:row>
    <x:row r="75">
      <x:c r="A75" s="117"/>
      <x:c r="B75" s="117"/>
      <x:c r="C75" s="117"/>
      <x:c r="D75" s="117"/>
      <x:c r="E75" s="117"/>
      <x:c r="F75" s="117"/>
      <x:c r="G75" s="117"/>
      <x:c r="H75" s="117"/>
      <x:c r="I75" s="117"/>
      <x:c r="J75" s="117"/>
      <x:c r="K75" s="117"/>
    </x:row>
    <x:row r="76">
      <x:c r="A76" s="117"/>
      <x:c r="B76" s="117"/>
      <x:c r="C76" s="117"/>
      <x:c r="D76" s="117"/>
      <x:c r="E76" s="117"/>
      <x:c r="F76" s="117"/>
      <x:c r="G76" s="117"/>
      <x:c r="H76" s="117"/>
      <x:c r="I76" s="117"/>
      <x:c r="J76" s="117"/>
      <x:c r="K76" s="117"/>
    </x:row>
    <x:row r="77">
      <x:c r="A77" s="117"/>
      <x:c r="B77" s="117"/>
      <x:c r="C77" s="117"/>
      <x:c r="D77" s="117"/>
      <x:c r="E77" s="117"/>
      <x:c r="F77" s="117"/>
      <x:c r="G77" s="117"/>
      <x:c r="H77" s="117"/>
      <x:c r="I77" s="117"/>
      <x:c r="J77" s="117"/>
      <x:c r="K77" s="117"/>
    </x:row>
    <x:row r="78">
      <x:c r="A78" s="117"/>
      <x:c r="B78" s="117"/>
      <x:c r="C78" s="117"/>
      <x:c r="D78" s="117"/>
      <x:c r="E78" s="117"/>
      <x:c r="F78" s="117"/>
      <x:c r="G78" s="117"/>
      <x:c r="H78" s="117"/>
      <x:c r="I78" s="117"/>
      <x:c r="J78" s="117"/>
      <x:c r="K78" s="117"/>
    </x:row>
    <x:row r="79">
      <x:c r="A79" s="117"/>
      <x:c r="B79" s="117"/>
      <x:c r="C79" s="117"/>
      <x:c r="D79" s="117"/>
      <x:c r="E79" s="117"/>
      <x:c r="F79" s="117"/>
      <x:c r="G79" s="117"/>
      <x:c r="H79" s="117"/>
      <x:c r="I79" s="117"/>
      <x:c r="J79" s="117"/>
      <x:c r="K79" s="117"/>
    </x:row>
    <x:row r="80">
      <x:c r="A80" s="117"/>
      <x:c r="B80" s="117"/>
      <x:c r="C80" s="117"/>
      <x:c r="D80" s="117"/>
      <x:c r="E80" s="117"/>
      <x:c r="F80" s="117"/>
      <x:c r="G80" s="117"/>
      <x:c r="H80" s="117"/>
      <x:c r="I80" s="117"/>
      <x:c r="J80" s="117"/>
      <x:c r="K80" s="117"/>
    </x:row>
    <x:row r="81">
      <x:c r="A81" s="117"/>
      <x:c r="B81" s="117"/>
      <x:c r="C81" s="117"/>
      <x:c r="D81" s="117"/>
      <x:c r="E81" s="117"/>
      <x:c r="F81" s="117"/>
      <x:c r="G81" s="117"/>
      <x:c r="H81" s="117"/>
      <x:c r="I81" s="117"/>
      <x:c r="J81" s="117"/>
      <x:c r="K81" s="117"/>
    </x:row>
    <x:row r="82">
      <x:c r="A82" s="117"/>
      <x:c r="B82" s="117"/>
      <x:c r="C82" s="117"/>
      <x:c r="D82" s="117"/>
      <x:c r="E82" s="117"/>
      <x:c r="F82" s="117"/>
      <x:c r="G82" s="117"/>
      <x:c r="H82" s="117"/>
      <x:c r="I82" s="117"/>
      <x:c r="J82" s="117"/>
      <x:c r="K82" s="117"/>
    </x:row>
    <x:row r="83">
      <x:c r="A83" s="117"/>
      <x:c r="B83" s="117"/>
      <x:c r="C83" s="117"/>
      <x:c r="D83" s="117"/>
      <x:c r="E83" s="117"/>
      <x:c r="F83" s="117"/>
      <x:c r="G83" s="117"/>
      <x:c r="H83" s="117"/>
      <x:c r="I83" s="117"/>
      <x:c r="J83" s="117"/>
      <x:c r="K83" s="117"/>
    </x:row>
    <x:row r="84">
      <x:c r="A84" s="117"/>
      <x:c r="B84" s="117"/>
      <x:c r="C84" s="117"/>
      <x:c r="D84" s="117"/>
      <x:c r="E84" s="117"/>
      <x:c r="F84" s="117"/>
      <x:c r="G84" s="117"/>
      <x:c r="H84" s="117"/>
      <x:c r="I84" s="117"/>
      <x:c r="J84" s="117"/>
      <x:c r="K84" s="117"/>
    </x:row>
    <x:row r="85">
      <x:c r="A85" s="117"/>
      <x:c r="B85" s="117"/>
      <x:c r="C85" s="117"/>
      <x:c r="D85" s="117"/>
      <x:c r="E85" s="117"/>
      <x:c r="F85" s="117"/>
      <x:c r="G85" s="117"/>
      <x:c r="H85" s="117"/>
      <x:c r="I85" s="117"/>
      <x:c r="J85" s="117"/>
      <x:c r="K85" s="117"/>
    </x:row>
    <x:row r="86">
      <x:c r="A86" s="117"/>
      <x:c r="B86" s="117"/>
      <x:c r="C86" s="117"/>
      <x:c r="D86" s="117"/>
      <x:c r="E86" s="117"/>
      <x:c r="F86" s="117"/>
      <x:c r="G86" s="117"/>
      <x:c r="H86" s="117"/>
      <x:c r="I86" s="117"/>
      <x:c r="J86" s="117"/>
      <x:c r="K86" s="117"/>
    </x:row>
    <x:row r="87">
      <x:c r="A87" s="117"/>
      <x:c r="B87" s="117"/>
      <x:c r="C87" s="117"/>
      <x:c r="D87" s="117"/>
      <x:c r="E87" s="117"/>
      <x:c r="F87" s="117"/>
      <x:c r="G87" s="117"/>
      <x:c r="H87" s="117"/>
      <x:c r="I87" s="117"/>
      <x:c r="J87" s="117"/>
      <x:c r="K87" s="117"/>
    </x:row>
    <x:row r="88">
      <x:c r="A88" s="117"/>
      <x:c r="B88" s="117"/>
      <x:c r="C88" s="117"/>
      <x:c r="D88" s="117"/>
      <x:c r="E88" s="117"/>
      <x:c r="F88" s="117"/>
      <x:c r="G88" s="117"/>
      <x:c r="H88" s="117"/>
      <x:c r="I88" s="117"/>
      <x:c r="J88" s="117"/>
      <x:c r="K88" s="117"/>
    </x:row>
    <x:row r="89">
      <x:c r="A89" s="117"/>
      <x:c r="B89" s="117"/>
      <x:c r="C89" s="117"/>
      <x:c r="D89" s="117"/>
      <x:c r="E89" s="117"/>
      <x:c r="F89" s="117"/>
      <x:c r="G89" s="117"/>
      <x:c r="H89" s="117"/>
      <x:c r="I89" s="117"/>
      <x:c r="J89" s="117"/>
      <x:c r="K89" s="117"/>
    </x:row>
    <x:row r="90">
      <x:c r="A90" s="117"/>
      <x:c r="B90" s="117"/>
      <x:c r="C90" s="117"/>
      <x:c r="D90" s="117"/>
      <x:c r="E90" s="117"/>
      <x:c r="F90" s="117"/>
      <x:c r="G90" s="117"/>
      <x:c r="H90" s="117"/>
      <x:c r="I90" s="117"/>
      <x:c r="J90" s="117"/>
      <x:c r="K90" s="117"/>
    </x:row>
    <x:row r="91">
      <x:c r="A91" s="117"/>
      <x:c r="B91" s="117"/>
      <x:c r="C91" s="117"/>
      <x:c r="D91" s="117"/>
      <x:c r="E91" s="117"/>
      <x:c r="F91" s="117"/>
      <x:c r="G91" s="117"/>
      <x:c r="H91" s="117"/>
      <x:c r="I91" s="117"/>
      <x:c r="J91" s="117"/>
      <x:c r="K91" s="117"/>
    </x:row>
    <x:row r="92">
      <x:c r="A92" s="117"/>
      <x:c r="B92" s="117"/>
      <x:c r="C92" s="117"/>
      <x:c r="D92" s="117"/>
      <x:c r="E92" s="117"/>
      <x:c r="F92" s="117"/>
      <x:c r="G92" s="117"/>
      <x:c r="H92" s="117"/>
      <x:c r="I92" s="117"/>
      <x:c r="J92" s="117"/>
      <x:c r="K92" s="117"/>
    </x:row>
    <x:row r="93">
      <x:c r="A93" s="117"/>
      <x:c r="B93" s="117"/>
      <x:c r="C93" s="117"/>
      <x:c r="D93" s="117"/>
      <x:c r="E93" s="117"/>
      <x:c r="F93" s="117"/>
      <x:c r="G93" s="117"/>
      <x:c r="H93" s="117"/>
      <x:c r="I93" s="117"/>
      <x:c r="J93" s="117"/>
      <x:c r="K93" s="117"/>
    </x:row>
    <x:row r="94">
      <x:c r="A94" s="117"/>
      <x:c r="B94" s="117"/>
      <x:c r="C94" s="117"/>
      <x:c r="D94" s="117"/>
      <x:c r="E94" s="117"/>
      <x:c r="F94" s="117"/>
      <x:c r="G94" s="117"/>
      <x:c r="H94" s="117"/>
      <x:c r="I94" s="117"/>
      <x:c r="J94" s="117"/>
      <x:c r="K94" s="117"/>
    </x:row>
    <x:row r="95">
      <x:c r="A95" s="117"/>
      <x:c r="B95" s="117"/>
      <x:c r="C95" s="117"/>
      <x:c r="D95" s="117"/>
      <x:c r="E95" s="117"/>
      <x:c r="F95" s="117"/>
      <x:c r="G95" s="117"/>
      <x:c r="H95" s="117"/>
      <x:c r="I95" s="117"/>
      <x:c r="J95" s="117"/>
      <x:c r="K95" s="117"/>
    </x:row>
    <x:row r="96">
      <x:c r="A96" s="117"/>
      <x:c r="B96" s="117"/>
      <x:c r="C96" s="117"/>
      <x:c r="D96" s="117"/>
      <x:c r="E96" s="117"/>
      <x:c r="F96" s="117"/>
      <x:c r="G96" s="117"/>
      <x:c r="H96" s="117"/>
      <x:c r="I96" s="117"/>
      <x:c r="J96" s="117"/>
      <x:c r="K96" s="117"/>
    </x:row>
    <x:row r="97">
      <x:c r="A97" s="117"/>
      <x:c r="B97" s="117"/>
      <x:c r="C97" s="117"/>
      <x:c r="D97" s="117"/>
      <x:c r="E97" s="117"/>
      <x:c r="F97" s="117"/>
      <x:c r="G97" s="117"/>
      <x:c r="H97" s="117"/>
      <x:c r="I97" s="117"/>
      <x:c r="J97" s="117"/>
      <x:c r="K97" s="117"/>
    </x:row>
    <x:row r="98">
      <x:c r="A98" s="117"/>
      <x:c r="B98" s="117"/>
      <x:c r="C98" s="117"/>
      <x:c r="D98" s="117"/>
      <x:c r="E98" s="117"/>
      <x:c r="F98" s="117"/>
      <x:c r="G98" s="117"/>
      <x:c r="H98" s="117"/>
      <x:c r="I98" s="117"/>
      <x:c r="J98" s="117"/>
      <x:c r="K98" s="117"/>
    </x:row>
    <x:row r="99">
      <x:c r="A99" s="117"/>
      <x:c r="B99" s="117"/>
      <x:c r="C99" s="117"/>
      <x:c r="D99" s="117"/>
      <x:c r="E99" s="117"/>
      <x:c r="F99" s="117"/>
      <x:c r="G99" s="117"/>
      <x:c r="H99" s="117"/>
      <x:c r="I99" s="117"/>
      <x:c r="J99" s="117"/>
      <x:c r="K99" s="117"/>
    </x:row>
    <x:row r="100">
      <x:c r="A100" s="117"/>
      <x:c r="B100" s="117"/>
      <x:c r="C100" s="117"/>
      <x:c r="D100" s="117"/>
      <x:c r="E100" s="117"/>
      <x:c r="F100" s="117"/>
      <x:c r="G100" s="117"/>
      <x:c r="H100" s="117"/>
      <x:c r="I100" s="117"/>
      <x:c r="J100" s="117"/>
      <x:c r="K100" s="117"/>
    </x:row>
    <x:row r="101">
      <x:c r="A101" s="117"/>
      <x:c r="B101" s="117"/>
      <x:c r="C101" s="117"/>
      <x:c r="D101" s="117"/>
      <x:c r="E101" s="117"/>
      <x:c r="F101" s="117"/>
      <x:c r="G101" s="117"/>
      <x:c r="H101" s="117"/>
      <x:c r="I101" s="117"/>
      <x:c r="J101" s="117"/>
      <x:c r="K101" s="117"/>
    </x:row>
    <x:row r="102">
      <x:c r="A102" s="117"/>
      <x:c r="B102" s="117"/>
      <x:c r="C102" s="117"/>
      <x:c r="D102" s="117"/>
      <x:c r="E102" s="117"/>
      <x:c r="F102" s="117"/>
      <x:c r="G102" s="117"/>
      <x:c r="H102" s="117"/>
      <x:c r="I102" s="117"/>
      <x:c r="J102" s="117"/>
      <x:c r="K102" s="117"/>
    </x:row>
    <x:row r="103">
      <x:c r="A103" s="117"/>
      <x:c r="B103" s="117"/>
      <x:c r="C103" s="117"/>
      <x:c r="D103" s="117"/>
      <x:c r="E103" s="117"/>
      <x:c r="F103" s="117"/>
      <x:c r="G103" s="117"/>
      <x:c r="H103" s="117"/>
      <x:c r="I103" s="117"/>
      <x:c r="J103" s="117"/>
      <x:c r="K103" s="117"/>
    </x:row>
    <x:row r="104">
      <x:c r="A104" s="117"/>
      <x:c r="B104" s="117"/>
      <x:c r="C104" s="117"/>
      <x:c r="D104" s="117"/>
      <x:c r="E104" s="117"/>
      <x:c r="F104" s="117"/>
      <x:c r="G104" s="117"/>
      <x:c r="H104" s="117"/>
      <x:c r="I104" s="117"/>
      <x:c r="J104" s="117"/>
      <x:c r="K104" s="117"/>
    </x:row>
    <x:row r="105">
      <x:c r="A105" s="117"/>
      <x:c r="B105" s="117"/>
      <x:c r="C105" s="117"/>
      <x:c r="D105" s="117"/>
      <x:c r="E105" s="117"/>
      <x:c r="F105" s="117"/>
      <x:c r="G105" s="117"/>
      <x:c r="H105" s="117"/>
      <x:c r="I105" s="117"/>
      <x:c r="J105" s="117"/>
      <x:c r="K105" s="117"/>
    </x:row>
    <x:row r="106">
      <x:c r="A106" s="117"/>
      <x:c r="B106" s="117"/>
      <x:c r="C106" s="117"/>
      <x:c r="D106" s="117"/>
      <x:c r="E106" s="117"/>
      <x:c r="F106" s="117"/>
      <x:c r="G106" s="117"/>
      <x:c r="H106" s="117"/>
      <x:c r="I106" s="117"/>
      <x:c r="J106" s="117"/>
      <x:c r="K106" s="117"/>
    </x:row>
    <x:row r="107">
      <x:c r="A107" s="117"/>
      <x:c r="B107" s="117"/>
      <x:c r="C107" s="117"/>
      <x:c r="D107" s="117"/>
      <x:c r="E107" s="117"/>
      <x:c r="F107" s="117"/>
      <x:c r="G107" s="117"/>
      <x:c r="H107" s="117"/>
      <x:c r="I107" s="117"/>
      <x:c r="J107" s="117"/>
      <x:c r="K107" s="117"/>
    </x:row>
    <x:row r="108">
      <x:c r="A108" s="117"/>
      <x:c r="B108" s="117"/>
      <x:c r="C108" s="117"/>
      <x:c r="D108" s="117"/>
      <x:c r="E108" s="117"/>
      <x:c r="F108" s="117"/>
      <x:c r="G108" s="117"/>
      <x:c r="H108" s="117"/>
      <x:c r="I108" s="117"/>
      <x:c r="J108" s="117"/>
      <x:c r="K108" s="117"/>
    </x:row>
    <x:row r="109">
      <x:c r="A109" s="117"/>
      <x:c r="B109" s="117"/>
      <x:c r="C109" s="117"/>
      <x:c r="D109" s="117"/>
      <x:c r="E109" s="117"/>
      <x:c r="F109" s="117"/>
      <x:c r="G109" s="117"/>
      <x:c r="H109" s="117"/>
      <x:c r="I109" s="117"/>
      <x:c r="J109" s="117"/>
      <x:c r="K109" s="117"/>
    </x:row>
    <x:row r="110">
      <x:c r="A110" s="117"/>
      <x:c r="B110" s="117"/>
      <x:c r="C110" s="117"/>
      <x:c r="D110" s="117"/>
      <x:c r="E110" s="117"/>
      <x:c r="F110" s="117"/>
      <x:c r="G110" s="117"/>
      <x:c r="H110" s="117"/>
      <x:c r="I110" s="117"/>
      <x:c r="J110" s="117"/>
      <x:c r="K110" s="117"/>
    </x:row>
    <x:row r="111">
      <x:c r="A111" s="117"/>
      <x:c r="B111" s="117"/>
      <x:c r="C111" s="117"/>
      <x:c r="D111" s="117"/>
      <x:c r="E111" s="117"/>
      <x:c r="F111" s="117"/>
      <x:c r="G111" s="117"/>
      <x:c r="H111" s="117"/>
      <x:c r="I111" s="117"/>
      <x:c r="J111" s="117"/>
      <x:c r="K111" s="117"/>
    </x:row>
    <x:row r="112">
      <x:c r="A112" s="117"/>
      <x:c r="B112" s="117"/>
      <x:c r="C112" s="117"/>
      <x:c r="D112" s="117"/>
      <x:c r="E112" s="117"/>
      <x:c r="F112" s="117"/>
      <x:c r="G112" s="117"/>
      <x:c r="H112" s="117"/>
      <x:c r="I112" s="117"/>
      <x:c r="J112" s="117"/>
      <x:c r="K112" s="117"/>
    </x:row>
    <x:row r="113">
      <x:c r="A113" s="117"/>
      <x:c r="B113" s="117"/>
      <x:c r="C113" s="117"/>
      <x:c r="D113" s="117"/>
      <x:c r="E113" s="117"/>
      <x:c r="F113" s="117"/>
      <x:c r="G113" s="117"/>
      <x:c r="H113" s="117"/>
      <x:c r="I113" s="117"/>
      <x:c r="J113" s="117"/>
      <x:c r="K113" s="117"/>
    </x:row>
    <x:row r="114">
      <x:c r="A114" s="117"/>
      <x:c r="B114" s="117"/>
      <x:c r="C114" s="117"/>
      <x:c r="D114" s="117"/>
      <x:c r="E114" s="117"/>
      <x:c r="F114" s="117"/>
      <x:c r="G114" s="117"/>
      <x:c r="H114" s="117"/>
      <x:c r="I114" s="117"/>
      <x:c r="J114" s="117"/>
      <x:c r="K114" s="117"/>
    </x:row>
    <x:row r="115">
      <x:c r="A115" s="117"/>
      <x:c r="B115" s="117"/>
      <x:c r="C115" s="117"/>
      <x:c r="D115" s="117"/>
      <x:c r="E115" s="117"/>
      <x:c r="F115" s="117"/>
      <x:c r="G115" s="117"/>
      <x:c r="H115" s="117"/>
      <x:c r="I115" s="117"/>
      <x:c r="J115" s="117"/>
      <x:c r="K115" s="117"/>
    </x:row>
    <x:row r="116">
      <x:c r="A116" s="117"/>
      <x:c r="B116" s="117"/>
      <x:c r="C116" s="117"/>
      <x:c r="D116" s="117"/>
      <x:c r="E116" s="117"/>
      <x:c r="F116" s="117"/>
      <x:c r="G116" s="117"/>
      <x:c r="H116" s="117"/>
      <x:c r="I116" s="117"/>
      <x:c r="J116" s="117"/>
      <x:c r="K116" s="117"/>
    </x:row>
    <x:row r="117">
      <x:c r="A117" s="117"/>
      <x:c r="B117" s="117"/>
      <x:c r="C117" s="117"/>
      <x:c r="D117" s="117"/>
      <x:c r="E117" s="117"/>
      <x:c r="F117" s="117"/>
      <x:c r="G117" s="117"/>
      <x:c r="H117" s="117"/>
      <x:c r="I117" s="117"/>
      <x:c r="J117" s="117"/>
      <x:c r="K117" s="117"/>
    </x:row>
    <x:row r="118">
      <x:c r="A118" s="117"/>
      <x:c r="B118" s="117"/>
      <x:c r="C118" s="117"/>
      <x:c r="D118" s="117"/>
      <x:c r="E118" s="117"/>
      <x:c r="F118" s="117"/>
      <x:c r="G118" s="117"/>
      <x:c r="H118" s="117"/>
      <x:c r="I118" s="117"/>
      <x:c r="J118" s="117"/>
      <x:c r="K118" s="117"/>
    </x:row>
    <x:row r="119">
      <x:c r="A119" s="117"/>
      <x:c r="B119" s="117"/>
      <x:c r="C119" s="117"/>
      <x:c r="D119" s="117"/>
      <x:c r="E119" s="117"/>
      <x:c r="F119" s="117"/>
      <x:c r="G119" s="117"/>
      <x:c r="H119" s="117"/>
      <x:c r="I119" s="117"/>
      <x:c r="J119" s="117"/>
      <x:c r="K119" s="117"/>
    </x:row>
    <x:row r="120">
      <x:c r="A120" s="117"/>
      <x:c r="B120" s="117"/>
      <x:c r="C120" s="117"/>
      <x:c r="D120" s="117"/>
      <x:c r="E120" s="117"/>
      <x:c r="F120" s="117"/>
      <x:c r="G120" s="117"/>
      <x:c r="H120" s="117"/>
      <x:c r="I120" s="117"/>
      <x:c r="J120" s="117"/>
      <x:c r="K120" s="117"/>
    </x:row>
    <x:row r="121">
      <x:c r="A121" s="117"/>
      <x:c r="B121" s="117"/>
      <x:c r="C121" s="117"/>
      <x:c r="D121" s="117"/>
      <x:c r="E121" s="117"/>
      <x:c r="F121" s="117"/>
      <x:c r="G121" s="117"/>
      <x:c r="H121" s="117"/>
      <x:c r="I121" s="117"/>
      <x:c r="J121" s="117"/>
      <x:c r="K121" s="117"/>
    </x:row>
    <x:row r="122">
      <x:c r="A122" s="117"/>
      <x:c r="B122" s="117"/>
      <x:c r="C122" s="117"/>
      <x:c r="D122" s="117"/>
      <x:c r="E122" s="117"/>
      <x:c r="F122" s="117"/>
      <x:c r="G122" s="117"/>
      <x:c r="H122" s="117"/>
      <x:c r="I122" s="117"/>
      <x:c r="J122" s="117"/>
      <x:c r="K122" s="117"/>
    </x:row>
    <x:row r="123">
      <x:c r="A123" s="117"/>
      <x:c r="B123" s="117"/>
      <x:c r="C123" s="117"/>
      <x:c r="D123" s="117"/>
      <x:c r="E123" s="117"/>
      <x:c r="F123" s="117"/>
      <x:c r="G123" s="117"/>
      <x:c r="H123" s="117"/>
      <x:c r="I123" s="117"/>
      <x:c r="J123" s="117"/>
      <x:c r="K123" s="117"/>
    </x:row>
    <x:row r="124">
      <x:c r="A124" s="117"/>
      <x:c r="B124" s="117"/>
      <x:c r="C124" s="117"/>
      <x:c r="D124" s="117"/>
      <x:c r="E124" s="117"/>
      <x:c r="F124" s="117"/>
      <x:c r="G124" s="117"/>
      <x:c r="H124" s="117"/>
      <x:c r="I124" s="117"/>
      <x:c r="J124" s="117"/>
      <x:c r="K124" s="117"/>
    </x:row>
    <x:row r="125">
      <x:c r="A125" s="117"/>
      <x:c r="B125" s="117"/>
      <x:c r="C125" s="117"/>
      <x:c r="D125" s="117"/>
      <x:c r="E125" s="117"/>
      <x:c r="F125" s="117"/>
      <x:c r="G125" s="117"/>
      <x:c r="H125" s="117"/>
      <x:c r="I125" s="117"/>
      <x:c r="J125" s="117"/>
      <x:c r="K125" s="117"/>
    </x:row>
    <x:row r="126">
      <x:c r="A126" s="117"/>
      <x:c r="B126" s="117"/>
      <x:c r="C126" s="117"/>
      <x:c r="D126" s="117"/>
      <x:c r="E126" s="117"/>
      <x:c r="F126" s="117"/>
      <x:c r="G126" s="117"/>
      <x:c r="H126" s="117"/>
      <x:c r="I126" s="117"/>
      <x:c r="J126" s="117"/>
      <x:c r="K126" s="117"/>
    </x:row>
    <x:row r="127">
      <x:c r="A127" s="117"/>
      <x:c r="B127" s="117"/>
      <x:c r="C127" s="117"/>
      <x:c r="D127" s="117"/>
      <x:c r="E127" s="117"/>
      <x:c r="F127" s="117"/>
      <x:c r="G127" s="117"/>
      <x:c r="H127" s="117"/>
      <x:c r="I127" s="117"/>
      <x:c r="J127" s="117"/>
      <x:c r="K127" s="117"/>
    </x:row>
    <x:row r="128">
      <x:c r="A128" s="117"/>
      <x:c r="B128" s="117"/>
      <x:c r="C128" s="117"/>
      <x:c r="D128" s="117"/>
      <x:c r="E128" s="117"/>
      <x:c r="F128" s="117"/>
      <x:c r="G128" s="117"/>
      <x:c r="H128" s="117"/>
      <x:c r="I128" s="117"/>
      <x:c r="J128" s="117"/>
      <x:c r="K128" s="117"/>
    </x:row>
    <x:row r="129">
      <x:c r="A129" s="117"/>
      <x:c r="B129" s="117"/>
      <x:c r="C129" s="117"/>
      <x:c r="D129" s="117"/>
      <x:c r="E129" s="117"/>
      <x:c r="F129" s="117"/>
      <x:c r="G129" s="117"/>
      <x:c r="H129" s="117"/>
      <x:c r="I129" s="117"/>
      <x:c r="J129" s="117"/>
      <x:c r="K129" s="117"/>
    </x:row>
    <x:row r="130">
      <x:c r="A130" s="117"/>
      <x:c r="B130" s="117"/>
      <x:c r="C130" s="117"/>
      <x:c r="D130" s="117"/>
      <x:c r="E130" s="117"/>
      <x:c r="F130" s="117"/>
      <x:c r="G130" s="117"/>
      <x:c r="H130" s="117"/>
      <x:c r="I130" s="117"/>
      <x:c r="J130" s="117"/>
      <x:c r="K130" s="117"/>
    </x:row>
    <x:row r="131">
      <x:c r="A131" s="117"/>
      <x:c r="B131" s="117"/>
      <x:c r="C131" s="117"/>
      <x:c r="D131" s="117"/>
      <x:c r="E131" s="117"/>
      <x:c r="F131" s="117"/>
      <x:c r="G131" s="117"/>
      <x:c r="H131" s="117"/>
      <x:c r="I131" s="117"/>
      <x:c r="J131" s="117"/>
      <x:c r="K131" s="117"/>
    </x:row>
    <x:row r="132">
      <x:c r="A132" s="117"/>
      <x:c r="B132" s="117"/>
      <x:c r="C132" s="117"/>
      <x:c r="D132" s="117"/>
      <x:c r="E132" s="117"/>
      <x:c r="F132" s="117"/>
      <x:c r="G132" s="117"/>
      <x:c r="H132" s="117"/>
      <x:c r="I132" s="117"/>
      <x:c r="J132" s="117"/>
      <x:c r="K132" s="117"/>
    </x:row>
    <x:row r="133">
      <x:c r="A133" s="117"/>
      <x:c r="B133" s="117"/>
      <x:c r="C133" s="117"/>
      <x:c r="D133" s="117"/>
      <x:c r="E133" s="117"/>
      <x:c r="F133" s="117"/>
      <x:c r="G133" s="117"/>
      <x:c r="H133" s="117"/>
      <x:c r="I133" s="117"/>
      <x:c r="J133" s="117"/>
      <x:c r="K133" s="117"/>
    </x:row>
    <x:row r="134">
      <x:c r="A134" s="117"/>
      <x:c r="B134" s="117"/>
      <x:c r="C134" s="117"/>
      <x:c r="D134" s="117"/>
      <x:c r="E134" s="117"/>
      <x:c r="F134" s="117"/>
      <x:c r="G134" s="117"/>
      <x:c r="H134" s="117"/>
      <x:c r="I134" s="117"/>
      <x:c r="J134" s="117"/>
      <x:c r="K134" s="117"/>
    </x:row>
    <x:row r="135">
      <x:c r="A135" s="117"/>
      <x:c r="B135" s="117"/>
      <x:c r="C135" s="117"/>
      <x:c r="D135" s="117"/>
      <x:c r="E135" s="117"/>
      <x:c r="F135" s="117"/>
      <x:c r="G135" s="117"/>
      <x:c r="H135" s="117"/>
      <x:c r="I135" s="117"/>
      <x:c r="J135" s="117"/>
      <x:c r="K135" s="117"/>
    </x:row>
    <x:row r="136">
      <x:c r="A136" s="117"/>
      <x:c r="B136" s="117"/>
      <x:c r="C136" s="117"/>
      <x:c r="D136" s="117"/>
      <x:c r="E136" s="117"/>
      <x:c r="F136" s="117"/>
      <x:c r="G136" s="117"/>
      <x:c r="H136" s="117"/>
      <x:c r="I136" s="117"/>
      <x:c r="J136" s="117"/>
      <x:c r="K136" s="117"/>
    </x:row>
    <x:row r="137">
      <x:c r="A137" s="117"/>
      <x:c r="B137" s="117"/>
      <x:c r="C137" s="117"/>
      <x:c r="D137" s="117"/>
      <x:c r="E137" s="117"/>
      <x:c r="F137" s="117"/>
      <x:c r="G137" s="117"/>
      <x:c r="H137" s="117"/>
      <x:c r="I137" s="117"/>
      <x:c r="J137" s="117"/>
      <x:c r="K137" s="117"/>
    </x:row>
    <x:row r="138">
      <x:c r="A138" s="117"/>
      <x:c r="B138" s="117"/>
      <x:c r="C138" s="117"/>
      <x:c r="D138" s="117"/>
      <x:c r="E138" s="117"/>
      <x:c r="F138" s="117"/>
      <x:c r="G138" s="117"/>
      <x:c r="H138" s="117"/>
      <x:c r="I138" s="117"/>
      <x:c r="J138" s="117"/>
      <x:c r="K138" s="117"/>
    </x:row>
    <x:row r="139">
      <x:c r="A139" s="117"/>
      <x:c r="B139" s="117"/>
      <x:c r="C139" s="117"/>
      <x:c r="D139" s="117"/>
      <x:c r="E139" s="117"/>
      <x:c r="F139" s="117"/>
      <x:c r="G139" s="117"/>
      <x:c r="H139" s="117"/>
      <x:c r="I139" s="117"/>
      <x:c r="J139" s="117"/>
      <x:c r="K139" s="117"/>
    </x:row>
    <x:row r="140">
      <x:c r="A140" s="117"/>
      <x:c r="B140" s="117"/>
      <x:c r="C140" s="117"/>
      <x:c r="D140" s="117"/>
      <x:c r="E140" s="117"/>
      <x:c r="F140" s="117"/>
      <x:c r="G140" s="117"/>
      <x:c r="H140" s="117"/>
      <x:c r="I140" s="117"/>
      <x:c r="J140" s="117"/>
      <x:c r="K140" s="117"/>
    </x:row>
    <x:row r="141">
      <x:c r="A141" s="117"/>
      <x:c r="B141" s="117"/>
      <x:c r="C141" s="117"/>
      <x:c r="D141" s="117"/>
      <x:c r="E141" s="117"/>
      <x:c r="F141" s="117"/>
      <x:c r="G141" s="117"/>
      <x:c r="H141" s="117"/>
      <x:c r="I141" s="117"/>
      <x:c r="J141" s="117"/>
      <x:c r="K141" s="117"/>
    </x:row>
    <x:row r="142">
      <x:c r="A142" s="117"/>
      <x:c r="B142" s="117"/>
      <x:c r="C142" s="117"/>
      <x:c r="D142" s="117"/>
      <x:c r="E142" s="117"/>
      <x:c r="F142" s="117"/>
      <x:c r="G142" s="117"/>
      <x:c r="H142" s="117"/>
      <x:c r="I142" s="117"/>
      <x:c r="J142" s="117"/>
      <x:c r="K142" s="117"/>
    </x:row>
    <x:row r="143">
      <x:c r="A143" s="117"/>
      <x:c r="B143" s="117"/>
      <x:c r="C143" s="117"/>
      <x:c r="D143" s="117"/>
      <x:c r="E143" s="117"/>
      <x:c r="F143" s="117"/>
      <x:c r="G143" s="117"/>
      <x:c r="H143" s="117"/>
      <x:c r="I143" s="117"/>
      <x:c r="J143" s="117"/>
      <x:c r="K143" s="117"/>
    </x:row>
    <x:row r="144">
      <x:c r="A144" s="117"/>
      <x:c r="B144" s="117"/>
      <x:c r="C144" s="117"/>
      <x:c r="D144" s="117"/>
      <x:c r="E144" s="117"/>
      <x:c r="F144" s="117"/>
      <x:c r="G144" s="117"/>
      <x:c r="H144" s="117"/>
      <x:c r="I144" s="117"/>
      <x:c r="J144" s="117"/>
      <x:c r="K144" s="117"/>
    </x:row>
    <x:row r="145">
      <x:c r="A145" s="117"/>
      <x:c r="B145" s="117"/>
      <x:c r="C145" s="117"/>
      <x:c r="D145" s="117"/>
      <x:c r="E145" s="117"/>
      <x:c r="F145" s="117"/>
      <x:c r="G145" s="117"/>
      <x:c r="H145" s="117"/>
      <x:c r="I145" s="117"/>
      <x:c r="J145" s="117"/>
      <x:c r="K145" s="117"/>
    </x:row>
    <x:row r="146">
      <x:c r="A146" s="117"/>
      <x:c r="B146" s="117"/>
      <x:c r="C146" s="117"/>
      <x:c r="D146" s="117"/>
      <x:c r="E146" s="117"/>
      <x:c r="F146" s="117"/>
      <x:c r="G146" s="117"/>
      <x:c r="H146" s="117"/>
      <x:c r="I146" s="117"/>
      <x:c r="J146" s="117"/>
      <x:c r="K146" s="117"/>
    </x:row>
    <x:row r="147">
      <x:c r="A147" s="117"/>
      <x:c r="B147" s="117"/>
      <x:c r="C147" s="117"/>
      <x:c r="D147" s="117"/>
      <x:c r="E147" s="117"/>
      <x:c r="F147" s="117"/>
      <x:c r="G147" s="117"/>
      <x:c r="H147" s="117"/>
      <x:c r="I147" s="117"/>
      <x:c r="J147" s="117"/>
      <x:c r="K147" s="117"/>
    </x:row>
    <x:row r="148">
      <x:c r="A148" s="117"/>
      <x:c r="B148" s="117"/>
      <x:c r="C148" s="117"/>
      <x:c r="D148" s="117"/>
      <x:c r="E148" s="117"/>
      <x:c r="F148" s="117"/>
      <x:c r="G148" s="117"/>
      <x:c r="H148" s="117"/>
      <x:c r="I148" s="117"/>
      <x:c r="J148" s="117"/>
      <x:c r="K148" s="117"/>
    </x:row>
    <x:row r="149">
      <x:c r="A149" s="117"/>
      <x:c r="B149" s="117"/>
      <x:c r="C149" s="117"/>
      <x:c r="D149" s="117"/>
      <x:c r="E149" s="117"/>
      <x:c r="F149" s="117"/>
      <x:c r="G149" s="117"/>
      <x:c r="H149" s="117"/>
      <x:c r="I149" s="117"/>
      <x:c r="J149" s="117"/>
      <x:c r="K149" s="117"/>
    </x:row>
    <x:row r="150">
      <x:c r="A150" s="117"/>
      <x:c r="B150" s="117"/>
      <x:c r="C150" s="117"/>
      <x:c r="D150" s="117"/>
      <x:c r="E150" s="117"/>
      <x:c r="F150" s="117"/>
      <x:c r="G150" s="117"/>
      <x:c r="H150" s="117"/>
      <x:c r="I150" s="117"/>
      <x:c r="J150" s="117"/>
      <x:c r="K150" s="117"/>
    </x:row>
    <x:row r="151">
      <x:c r="A151" s="117"/>
      <x:c r="B151" s="117"/>
      <x:c r="C151" s="117"/>
      <x:c r="D151" s="117"/>
      <x:c r="E151" s="117"/>
      <x:c r="F151" s="117"/>
      <x:c r="G151" s="117"/>
      <x:c r="H151" s="117"/>
      <x:c r="I151" s="117"/>
      <x:c r="J151" s="117"/>
      <x:c r="K151" s="117"/>
    </x:row>
    <x:row r="152">
      <x:c r="A152" s="117"/>
      <x:c r="B152" s="117"/>
      <x:c r="C152" s="117"/>
      <x:c r="D152" s="117"/>
      <x:c r="E152" s="117"/>
      <x:c r="F152" s="117"/>
      <x:c r="G152" s="117"/>
      <x:c r="H152" s="117"/>
      <x:c r="I152" s="117"/>
      <x:c r="J152" s="117"/>
      <x:c r="K152" s="117"/>
    </x:row>
    <x:row r="153">
      <x:c r="A153" s="117"/>
      <x:c r="B153" s="117"/>
      <x:c r="C153" s="117"/>
      <x:c r="D153" s="117"/>
      <x:c r="E153" s="117"/>
      <x:c r="F153" s="117"/>
      <x:c r="G153" s="117"/>
      <x:c r="H153" s="117"/>
      <x:c r="I153" s="117"/>
      <x:c r="J153" s="117"/>
      <x:c r="K153" s="117"/>
    </x:row>
    <x:row r="154">
      <x:c r="A154" s="117"/>
      <x:c r="B154" s="117"/>
      <x:c r="C154" s="117"/>
      <x:c r="D154" s="117"/>
      <x:c r="E154" s="117"/>
      <x:c r="F154" s="117"/>
      <x:c r="G154" s="117"/>
      <x:c r="H154" s="117"/>
      <x:c r="I154" s="117"/>
      <x:c r="J154" s="117"/>
      <x:c r="K154" s="117"/>
    </x:row>
    <x:row r="155">
      <x:c r="A155" s="117"/>
      <x:c r="B155" s="117"/>
      <x:c r="C155" s="117"/>
      <x:c r="D155" s="117"/>
      <x:c r="E155" s="117"/>
      <x:c r="F155" s="117"/>
      <x:c r="G155" s="117"/>
      <x:c r="H155" s="117"/>
      <x:c r="I155" s="117"/>
      <x:c r="J155" s="117"/>
      <x:c r="K155" s="117"/>
    </x:row>
    <x:row r="156">
      <x:c r="A156" s="117"/>
      <x:c r="B156" s="117"/>
      <x:c r="C156" s="117"/>
      <x:c r="D156" s="117"/>
      <x:c r="E156" s="117"/>
      <x:c r="F156" s="117"/>
      <x:c r="G156" s="117"/>
      <x:c r="H156" s="117"/>
      <x:c r="I156" s="117"/>
      <x:c r="J156" s="117"/>
      <x:c r="K156" s="117"/>
    </x:row>
    <x:row r="157">
      <x:c r="A157" s="117"/>
      <x:c r="B157" s="117"/>
      <x:c r="C157" s="117"/>
      <x:c r="D157" s="117"/>
      <x:c r="E157" s="117"/>
      <x:c r="F157" s="117"/>
      <x:c r="G157" s="117"/>
      <x:c r="H157" s="117"/>
      <x:c r="I157" s="117"/>
      <x:c r="J157" s="117"/>
      <x:c r="K157" s="117"/>
    </x:row>
    <x:row r="158">
      <x:c r="A158" s="117"/>
      <x:c r="B158" s="117"/>
      <x:c r="C158" s="117"/>
      <x:c r="D158" s="117"/>
      <x:c r="E158" s="117"/>
      <x:c r="F158" s="117"/>
      <x:c r="G158" s="117"/>
      <x:c r="H158" s="117"/>
      <x:c r="I158" s="117"/>
      <x:c r="J158" s="117"/>
      <x:c r="K158" s="117"/>
    </x:row>
    <x:row r="159">
      <x:c r="A159" s="117"/>
      <x:c r="B159" s="117"/>
      <x:c r="C159" s="117"/>
      <x:c r="D159" s="117"/>
      <x:c r="E159" s="117"/>
      <x:c r="F159" s="117"/>
      <x:c r="G159" s="117"/>
      <x:c r="H159" s="117"/>
      <x:c r="I159" s="117"/>
      <x:c r="J159" s="117"/>
      <x:c r="K159" s="117"/>
    </x:row>
    <x:row r="160">
      <x:c r="A160" s="117"/>
      <x:c r="B160" s="117"/>
      <x:c r="C160" s="117"/>
      <x:c r="D160" s="117"/>
      <x:c r="E160" s="117"/>
      <x:c r="F160" s="117"/>
      <x:c r="G160" s="117"/>
      <x:c r="H160" s="117"/>
      <x:c r="I160" s="117"/>
      <x:c r="J160" s="117"/>
      <x:c r="K160" s="117"/>
    </x:row>
    <x:row r="161">
      <x:c r="A161" s="117"/>
      <x:c r="B161" s="117"/>
      <x:c r="C161" s="117"/>
      <x:c r="D161" s="117"/>
      <x:c r="E161" s="117"/>
      <x:c r="F161" s="117"/>
      <x:c r="G161" s="117"/>
      <x:c r="H161" s="117"/>
      <x:c r="I161" s="117"/>
      <x:c r="J161" s="117"/>
      <x:c r="K161" s="117"/>
    </x:row>
    <x:row r="162">
      <x:c r="A162" s="117"/>
      <x:c r="B162" s="117"/>
      <x:c r="C162" s="117"/>
      <x:c r="D162" s="117"/>
      <x:c r="E162" s="117"/>
      <x:c r="F162" s="117"/>
      <x:c r="G162" s="117"/>
      <x:c r="H162" s="117"/>
      <x:c r="I162" s="117"/>
      <x:c r="J162" s="117"/>
      <x:c r="K162" s="117"/>
    </x:row>
    <x:row r="163">
      <x:c r="A163" s="117"/>
      <x:c r="B163" s="117"/>
      <x:c r="C163" s="117"/>
      <x:c r="D163" s="117"/>
      <x:c r="E163" s="117"/>
      <x:c r="F163" s="117"/>
      <x:c r="G163" s="117"/>
      <x:c r="H163" s="117"/>
      <x:c r="I163" s="117"/>
      <x:c r="J163" s="117"/>
      <x:c r="K163" s="117"/>
    </x:row>
    <x:row r="164">
      <x:c r="A164" s="117"/>
      <x:c r="B164" s="117"/>
      <x:c r="C164" s="117"/>
      <x:c r="D164" s="117"/>
      <x:c r="E164" s="117"/>
      <x:c r="F164" s="117"/>
      <x:c r="G164" s="117"/>
      <x:c r="H164" s="117"/>
      <x:c r="I164" s="117"/>
      <x:c r="J164" s="117"/>
      <x:c r="K164" s="117"/>
    </x:row>
    <x:row r="165">
      <x:c r="A165" s="117"/>
      <x:c r="B165" s="117"/>
      <x:c r="C165" s="117"/>
      <x:c r="D165" s="117"/>
      <x:c r="E165" s="117"/>
      <x:c r="F165" s="117"/>
      <x:c r="G165" s="117"/>
      <x:c r="H165" s="117"/>
      <x:c r="I165" s="117"/>
      <x:c r="J165" s="117"/>
      <x:c r="K165" s="117"/>
    </x:row>
    <x:row r="166">
      <x:c r="A166" s="117"/>
      <x:c r="B166" s="117"/>
      <x:c r="C166" s="117"/>
      <x:c r="D166" s="117"/>
      <x:c r="E166" s="117"/>
      <x:c r="F166" s="117"/>
      <x:c r="G166" s="117"/>
      <x:c r="H166" s="117"/>
      <x:c r="I166" s="117"/>
      <x:c r="J166" s="117"/>
      <x:c r="K166" s="117"/>
    </x:row>
    <x:row r="167">
      <x:c r="A167" s="117"/>
      <x:c r="B167" s="117"/>
      <x:c r="C167" s="117"/>
      <x:c r="D167" s="117"/>
      <x:c r="E167" s="117"/>
      <x:c r="F167" s="117"/>
      <x:c r="G167" s="117"/>
      <x:c r="H167" s="117"/>
      <x:c r="I167" s="117"/>
      <x:c r="J167" s="117"/>
      <x:c r="K167" s="117"/>
    </x:row>
    <x:row r="168">
      <x:c r="A168" s="117"/>
      <x:c r="B168" s="117"/>
      <x:c r="C168" s="117"/>
      <x:c r="D168" s="117"/>
      <x:c r="E168" s="117"/>
      <x:c r="F168" s="117"/>
      <x:c r="G168" s="117"/>
      <x:c r="H168" s="117"/>
      <x:c r="I168" s="117"/>
      <x:c r="J168" s="117"/>
      <x:c r="K168" s="117"/>
    </x:row>
    <x:row r="169">
      <x:c r="A169" s="117"/>
      <x:c r="B169" s="117"/>
      <x:c r="C169" s="117"/>
      <x:c r="D169" s="117"/>
      <x:c r="E169" s="117"/>
      <x:c r="F169" s="117"/>
      <x:c r="G169" s="117"/>
      <x:c r="H169" s="117"/>
      <x:c r="I169" s="117"/>
      <x:c r="J169" s="117"/>
      <x:c r="K169" s="117"/>
    </x:row>
    <x:row r="170">
      <x:c r="A170" s="117"/>
      <x:c r="B170" s="117"/>
      <x:c r="C170" s="117"/>
      <x:c r="D170" s="117"/>
      <x:c r="E170" s="117"/>
      <x:c r="F170" s="117"/>
      <x:c r="G170" s="117"/>
      <x:c r="H170" s="117"/>
      <x:c r="I170" s="117"/>
      <x:c r="J170" s="117"/>
      <x:c r="K170" s="117"/>
    </x:row>
    <x:row r="171">
      <x:c r="A171" s="117"/>
      <x:c r="B171" s="117"/>
      <x:c r="C171" s="117"/>
      <x:c r="D171" s="117"/>
      <x:c r="E171" s="117"/>
      <x:c r="F171" s="117"/>
      <x:c r="G171" s="117"/>
      <x:c r="H171" s="117"/>
      <x:c r="I171" s="117"/>
      <x:c r="J171" s="117"/>
      <x:c r="K171" s="117"/>
    </x:row>
    <x:row r="172">
      <x:c r="A172" s="117"/>
      <x:c r="B172" s="117"/>
      <x:c r="C172" s="117"/>
      <x:c r="D172" s="117"/>
      <x:c r="E172" s="117"/>
      <x:c r="F172" s="117"/>
      <x:c r="G172" s="117"/>
      <x:c r="H172" s="117"/>
      <x:c r="I172" s="117"/>
      <x:c r="J172" s="117"/>
      <x:c r="K172" s="117"/>
    </x:row>
    <x:row r="173">
      <x:c r="A173" s="117"/>
      <x:c r="B173" s="117"/>
      <x:c r="C173" s="117"/>
      <x:c r="D173" s="117"/>
      <x:c r="E173" s="117"/>
      <x:c r="F173" s="117"/>
      <x:c r="G173" s="117"/>
      <x:c r="H173" s="117"/>
      <x:c r="I173" s="117"/>
      <x:c r="J173" s="117"/>
      <x:c r="K173" s="117"/>
    </x:row>
    <x:row r="174">
      <x:c r="A174" s="117"/>
      <x:c r="B174" s="117"/>
      <x:c r="C174" s="117"/>
      <x:c r="D174" s="117"/>
      <x:c r="E174" s="117"/>
      <x:c r="F174" s="117"/>
      <x:c r="G174" s="117"/>
      <x:c r="H174" s="117"/>
      <x:c r="I174" s="117"/>
      <x:c r="J174" s="117"/>
      <x:c r="K174" s="117"/>
    </x:row>
    <x:row r="175">
      <x:c r="A175" s="117"/>
      <x:c r="B175" s="117"/>
      <x:c r="C175" s="117"/>
      <x:c r="D175" s="117"/>
      <x:c r="E175" s="117"/>
      <x:c r="F175" s="117"/>
      <x:c r="G175" s="117"/>
      <x:c r="H175" s="117"/>
      <x:c r="I175" s="117"/>
      <x:c r="J175" s="117"/>
      <x:c r="K175" s="117"/>
    </x:row>
    <x:row r="176">
      <x:c r="A176" s="117"/>
      <x:c r="B176" s="117"/>
      <x:c r="C176" s="117"/>
      <x:c r="D176" s="117"/>
      <x:c r="E176" s="117"/>
      <x:c r="F176" s="117"/>
      <x:c r="G176" s="117"/>
      <x:c r="H176" s="117"/>
      <x:c r="I176" s="117"/>
      <x:c r="J176" s="117"/>
      <x:c r="K176" s="117"/>
    </x:row>
    <x:row r="177">
      <x:c r="A177" s="117"/>
      <x:c r="B177" s="117"/>
      <x:c r="C177" s="117"/>
      <x:c r="D177" s="117"/>
      <x:c r="E177" s="117"/>
      <x:c r="F177" s="117"/>
      <x:c r="G177" s="117"/>
      <x:c r="H177" s="117"/>
      <x:c r="I177" s="117"/>
      <x:c r="J177" s="117"/>
      <x:c r="K177" s="117"/>
    </x:row>
    <x:row r="178">
      <x:c r="A178" s="117"/>
      <x:c r="B178" s="117"/>
      <x:c r="C178" s="117"/>
      <x:c r="D178" s="117"/>
      <x:c r="E178" s="117"/>
      <x:c r="F178" s="117"/>
      <x:c r="G178" s="117"/>
      <x:c r="H178" s="117"/>
      <x:c r="I178" s="117"/>
      <x:c r="J178" s="117"/>
      <x:c r="K178" s="117"/>
    </x:row>
    <x:row r="179">
      <x:c r="A179" s="117"/>
      <x:c r="B179" s="117"/>
      <x:c r="C179" s="117"/>
      <x:c r="D179" s="117"/>
      <x:c r="E179" s="117"/>
      <x:c r="F179" s="117"/>
      <x:c r="G179" s="117"/>
      <x:c r="H179" s="117"/>
      <x:c r="I179" s="117"/>
      <x:c r="J179" s="117"/>
      <x:c r="K179" s="117"/>
    </x:row>
    <x:row r="180">
      <x:c r="A180" s="117"/>
      <x:c r="B180" s="117"/>
      <x:c r="C180" s="117"/>
      <x:c r="D180" s="117"/>
      <x:c r="E180" s="117"/>
      <x:c r="F180" s="117"/>
      <x:c r="G180" s="117"/>
      <x:c r="H180" s="117"/>
      <x:c r="I180" s="117"/>
      <x:c r="J180" s="117"/>
      <x:c r="K180" s="117"/>
    </x:row>
    <x:row r="181">
      <x:c r="A181" s="117"/>
      <x:c r="B181" s="117"/>
      <x:c r="C181" s="117"/>
      <x:c r="D181" s="117"/>
      <x:c r="E181" s="117"/>
      <x:c r="F181" s="117"/>
      <x:c r="G181" s="117"/>
      <x:c r="H181" s="117"/>
      <x:c r="I181" s="117"/>
      <x:c r="J181" s="117"/>
      <x:c r="K181" s="117"/>
    </x:row>
    <x:row r="182">
      <x:c r="A182" s="117"/>
      <x:c r="B182" s="117"/>
      <x:c r="C182" s="117"/>
      <x:c r="D182" s="117"/>
      <x:c r="E182" s="117"/>
      <x:c r="F182" s="117"/>
      <x:c r="G182" s="117"/>
      <x:c r="H182" s="117"/>
      <x:c r="I182" s="117"/>
      <x:c r="J182" s="117"/>
      <x:c r="K182" s="117"/>
    </x:row>
    <x:row r="183">
      <x:c r="A183" s="117"/>
      <x:c r="B183" s="117"/>
      <x:c r="C183" s="117"/>
      <x:c r="D183" s="117"/>
      <x:c r="E183" s="117"/>
      <x:c r="F183" s="117"/>
      <x:c r="G183" s="117"/>
      <x:c r="H183" s="117"/>
      <x:c r="I183" s="117"/>
      <x:c r="J183" s="117"/>
      <x:c r="K183" s="117"/>
    </x:row>
    <x:row r="184">
      <x:c r="A184" s="117"/>
      <x:c r="B184" s="117"/>
      <x:c r="C184" s="117"/>
      <x:c r="D184" s="117"/>
      <x:c r="E184" s="117"/>
      <x:c r="F184" s="117"/>
      <x:c r="G184" s="117"/>
      <x:c r="H184" s="117"/>
      <x:c r="I184" s="117"/>
      <x:c r="J184" s="117"/>
      <x:c r="K184" s="117"/>
    </x:row>
    <x:row r="185">
      <x:c r="A185" s="117"/>
      <x:c r="B185" s="117"/>
      <x:c r="C185" s="117"/>
      <x:c r="D185" s="117"/>
      <x:c r="E185" s="117"/>
      <x:c r="F185" s="117"/>
      <x:c r="G185" s="117"/>
      <x:c r="H185" s="117"/>
      <x:c r="I185" s="117"/>
      <x:c r="J185" s="117"/>
      <x:c r="K185" s="117"/>
    </x:row>
    <x:row r="186">
      <x:c r="A186" s="117"/>
      <x:c r="B186" s="117"/>
      <x:c r="C186" s="117"/>
      <x:c r="D186" s="117"/>
      <x:c r="E186" s="117"/>
      <x:c r="F186" s="117"/>
      <x:c r="G186" s="117"/>
      <x:c r="H186" s="117"/>
      <x:c r="I186" s="117"/>
      <x:c r="J186" s="117"/>
      <x:c r="K186" s="117"/>
    </x:row>
    <x:row r="187">
      <x:c r="A187" s="117"/>
      <x:c r="B187" s="117"/>
      <x:c r="C187" s="117"/>
      <x:c r="D187" s="117"/>
      <x:c r="E187" s="117"/>
      <x:c r="F187" s="117"/>
      <x:c r="G187" s="117"/>
      <x:c r="H187" s="117"/>
      <x:c r="I187" s="117"/>
      <x:c r="J187" s="117"/>
      <x:c r="K187" s="117"/>
    </x:row>
    <x:row r="188">
      <x:c r="A188" s="117"/>
      <x:c r="B188" s="117"/>
      <x:c r="C188" s="117"/>
      <x:c r="D188" s="117"/>
      <x:c r="E188" s="117"/>
      <x:c r="F188" s="117"/>
      <x:c r="G188" s="117"/>
      <x:c r="H188" s="117"/>
      <x:c r="I188" s="117"/>
      <x:c r="J188" s="117"/>
      <x:c r="K188" s="117"/>
    </x:row>
    <x:row r="189">
      <x:c r="A189" s="117"/>
      <x:c r="B189" s="117"/>
      <x:c r="C189" s="117"/>
      <x:c r="D189" s="117"/>
      <x:c r="E189" s="117"/>
      <x:c r="F189" s="117"/>
      <x:c r="G189" s="117"/>
      <x:c r="H189" s="117"/>
      <x:c r="I189" s="117"/>
      <x:c r="J189" s="117"/>
      <x:c r="K189" s="117"/>
    </x:row>
    <x:row r="190">
      <x:c r="A190" s="117"/>
      <x:c r="B190" s="117"/>
      <x:c r="C190" s="117"/>
      <x:c r="D190" s="117"/>
      <x:c r="E190" s="117"/>
      <x:c r="F190" s="117"/>
      <x:c r="G190" s="117"/>
      <x:c r="H190" s="117"/>
      <x:c r="I190" s="117"/>
      <x:c r="J190" s="117"/>
      <x:c r="K190" s="117"/>
    </x:row>
    <x:row r="191">
      <x:c r="A191" s="117"/>
      <x:c r="B191" s="117"/>
      <x:c r="C191" s="117"/>
      <x:c r="D191" s="117"/>
      <x:c r="E191" s="117"/>
      <x:c r="F191" s="117"/>
      <x:c r="G191" s="117"/>
      <x:c r="H191" s="117"/>
      <x:c r="I191" s="117"/>
      <x:c r="J191" s="117"/>
      <x:c r="K191" s="117"/>
    </x:row>
    <x:row r="192">
      <x:c r="A192" s="117"/>
      <x:c r="B192" s="117"/>
      <x:c r="C192" s="117"/>
      <x:c r="D192" s="117"/>
      <x:c r="E192" s="117"/>
      <x:c r="F192" s="117"/>
      <x:c r="G192" s="117"/>
      <x:c r="H192" s="117"/>
      <x:c r="I192" s="117"/>
      <x:c r="J192" s="117"/>
      <x:c r="K192" s="117"/>
    </x:row>
    <x:row r="193">
      <x:c r="A193" s="117"/>
      <x:c r="B193" s="117"/>
      <x:c r="C193" s="117"/>
      <x:c r="D193" s="117"/>
      <x:c r="E193" s="117"/>
      <x:c r="F193" s="117"/>
      <x:c r="G193" s="117"/>
      <x:c r="H193" s="117"/>
      <x:c r="I193" s="117"/>
      <x:c r="J193" s="117"/>
      <x:c r="K193" s="117"/>
    </x:row>
    <x:row r="194">
      <x:c r="A194" s="117"/>
      <x:c r="B194" s="117"/>
      <x:c r="C194" s="117"/>
      <x:c r="D194" s="117"/>
      <x:c r="E194" s="117"/>
      <x:c r="F194" s="117"/>
      <x:c r="G194" s="117"/>
      <x:c r="H194" s="117"/>
      <x:c r="I194" s="117"/>
      <x:c r="J194" s="117"/>
      <x:c r="K194" s="117"/>
    </x:row>
    <x:row r="195">
      <x:c r="A195" s="117"/>
      <x:c r="B195" s="117"/>
      <x:c r="C195" s="117"/>
      <x:c r="D195" s="117"/>
      <x:c r="E195" s="117"/>
      <x:c r="F195" s="117"/>
      <x:c r="G195" s="117"/>
      <x:c r="H195" s="117"/>
      <x:c r="I195" s="117"/>
      <x:c r="J195" s="117"/>
      <x:c r="K195" s="117"/>
    </x:row>
    <x:row r="196">
      <x:c r="A196" s="117"/>
      <x:c r="B196" s="117"/>
      <x:c r="C196" s="117"/>
      <x:c r="D196" s="117"/>
      <x:c r="E196" s="117"/>
      <x:c r="F196" s="117"/>
      <x:c r="G196" s="117"/>
      <x:c r="H196" s="117"/>
      <x:c r="I196" s="117"/>
      <x:c r="J196" s="117"/>
      <x:c r="K196" s="117"/>
    </x:row>
    <x:row r="197">
      <x:c r="A197" s="117"/>
      <x:c r="B197" s="117"/>
      <x:c r="C197" s="117"/>
      <x:c r="D197" s="117"/>
      <x:c r="E197" s="117"/>
      <x:c r="F197" s="117"/>
      <x:c r="G197" s="117"/>
      <x:c r="H197" s="117"/>
      <x:c r="I197" s="117"/>
      <x:c r="J197" s="117"/>
      <x:c r="K197" s="117"/>
    </x:row>
    <x:row r="198">
      <x:c r="A198" s="117"/>
      <x:c r="B198" s="117"/>
      <x:c r="C198" s="117"/>
      <x:c r="D198" s="117"/>
      <x:c r="E198" s="117"/>
      <x:c r="F198" s="117"/>
      <x:c r="G198" s="117"/>
      <x:c r="H198" s="117"/>
      <x:c r="I198" s="117"/>
      <x:c r="J198" s="117"/>
      <x:c r="K198" s="117"/>
    </x:row>
    <x:row r="199">
      <x:c r="A199" s="117"/>
      <x:c r="B199" s="117"/>
      <x:c r="C199" s="117"/>
      <x:c r="D199" s="117"/>
      <x:c r="E199" s="117"/>
      <x:c r="F199" s="117"/>
      <x:c r="G199" s="117"/>
      <x:c r="H199" s="117"/>
      <x:c r="I199" s="117"/>
      <x:c r="J199" s="117"/>
      <x:c r="K199" s="117"/>
    </x:row>
    <x:row r="200">
      <x:c r="A200" s="117"/>
      <x:c r="B200" s="117"/>
      <x:c r="C200" s="117"/>
      <x:c r="D200" s="117"/>
      <x:c r="E200" s="117"/>
      <x:c r="F200" s="117"/>
      <x:c r="G200" s="117"/>
      <x:c r="H200" s="117"/>
      <x:c r="I200" s="117"/>
      <x:c r="J200" s="117"/>
      <x:c r="K200" s="117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e39cb24fc4c42e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" hidden="0" customWidth="1"/>
    <x:col min="3" max="3" width="28" hidden="0" customWidth="1"/>
    <x:col min="4" max="4" width="4" hidden="0" customWidth="1"/>
    <x:col min="5" max="5" width="28" hidden="0" customWidth="1"/>
    <x:col min="6" max="6" width="4" hidden="0" customWidth="1"/>
    <x:col min="7" max="7" width="28" hidden="0" customWidth="1"/>
    <x:col min="8" max="8" width="4" hidden="0" customWidth="1"/>
    <x:col min="9" max="9" width="28" hidden="0" customWidth="1"/>
    <x:col min="10" max="10" width="4" hidden="0" customWidth="1"/>
    <x:col min="11" max="11" width="28" hidden="0" customWidth="1"/>
    <x:col min="12" max="12" width="4" hidden="0" customWidth="1"/>
  </x:cols>
  <x:sheetData>
    <x:row r="1">
      <x:c r="A1" s="128" t="str">
        <x:v>Listas de validación</x:v>
      </x:c>
      <x:c r="B1" s="117"/>
      <x:c r="C1" s="117"/>
      <x:c r="D1" s="117"/>
      <x:c r="E1" s="117"/>
      <x:c r="F1" s="117"/>
      <x:c r="G1" s="117"/>
      <x:c r="H1" s="117"/>
      <x:c r="I1" s="117"/>
      <x:c r="J1" s="117"/>
      <x:c r="K1" s="117"/>
    </x:row>
    <x:row r="2">
      <x:c r="A2" s="117"/>
      <x:c r="B2" s="117"/>
      <x:c r="C2" s="117"/>
      <x:c r="D2" s="117"/>
      <x:c r="E2" s="117"/>
      <x:c r="F2" s="117"/>
      <x:c r="G2" s="117"/>
      <x:c r="H2" s="117"/>
      <x:c r="I2" s="117"/>
      <x:c r="J2" s="117"/>
      <x:c r="K2" s="117"/>
    </x:row>
    <x:row r="3">
      <x:c r="A3" s="130" t="str">
        <x:v>Estado</x:v>
      </x:c>
      <x:c r="B3" s="117"/>
      <x:c r="C3" s="130" t="str">
        <x:v>Prioridad</x:v>
      </x:c>
      <x:c r="D3" s="117"/>
      <x:c r="E3" s="130" t="str">
        <x:v>Sí/No</x:v>
      </x:c>
      <x:c r="F3" s="117"/>
      <x:c r="G3" s="130" t="str">
        <x:v>Riesgo</x:v>
      </x:c>
      <x:c r="H3" s="117"/>
      <x:c r="I3" s="130" t="str">
        <x:v>Responsable</x:v>
      </x:c>
      <x:c r="J3" s="117"/>
      <x:c r="K3" s="130" t="str">
        <x:v>Tipo de Bolt</x:v>
      </x:c>
    </x:row>
    <x:row r="4">
      <x:c r="A4" s="120" t="str">
        <x:v>Completado</x:v>
      </x:c>
      <x:c r="B4" s="117"/>
      <x:c r="C4" s="120" t="str">
        <x:v>Alta</x:v>
      </x:c>
      <x:c r="D4" s="117"/>
      <x:c r="E4" s="120" t="str">
        <x:v>Sí</x:v>
      </x:c>
      <x:c r="F4" s="117"/>
      <x:c r="G4" s="120" t="str">
        <x:v>Bajo</x:v>
      </x:c>
      <x:c r="H4" s="117"/>
      <x:c r="I4" s="120" t="str">
        <x:v>Diego Ricardo Carhuamaca Vasquez</x:v>
      </x:c>
      <x:c r="J4" s="117"/>
      <x:c r="K4" s="120" t="str">
        <x:v>Backend</x:v>
      </x:c>
    </x:row>
    <x:row r="5">
      <x:c r="A5" s="120" t="str">
        <x:v>En proceso</x:v>
      </x:c>
      <x:c r="B5" s="117"/>
      <x:c r="C5" s="120" t="str">
        <x:v>Media</x:v>
      </x:c>
      <x:c r="D5" s="117"/>
      <x:c r="E5" s="120" t="str">
        <x:v>No</x:v>
      </x:c>
      <x:c r="F5" s="117"/>
      <x:c r="G5" s="120" t="str">
        <x:v>Medio</x:v>
      </x:c>
      <x:c r="H5" s="117"/>
      <x:c r="I5" s="120" t="str">
        <x:v>Ernesto Marcial Constantino Chuchon Sotelo</x:v>
      </x:c>
      <x:c r="J5" s="117"/>
      <x:c r="K5" s="120" t="str">
        <x:v>Frontend</x:v>
      </x:c>
    </x:row>
    <x:row r="6">
      <x:c r="A6" s="120" t="str">
        <x:v>Pendiente</x:v>
      </x:c>
      <x:c r="B6" s="117"/>
      <x:c r="C6" s="120" t="str">
        <x:v>Baja</x:v>
      </x:c>
      <x:c r="D6" s="117"/>
      <x:c r="E6" s="120" t="str">
        <x:v>No aplica</x:v>
      </x:c>
      <x:c r="F6" s="117"/>
      <x:c r="G6" s="120" t="str">
        <x:v>Alto</x:v>
      </x:c>
      <x:c r="H6" s="117"/>
      <x:c r="I6" s="120" t="str">
        <x:v>Equipo SIDERAE</x:v>
      </x:c>
      <x:c r="J6" s="117"/>
      <x:c r="K6" s="120" t="str">
        <x:v>Base de datos</x:v>
      </x:c>
    </x:row>
    <x:row r="7">
      <x:c r="A7" s="120" t="str">
        <x:v>Observado</x:v>
      </x:c>
      <x:c r="B7" s="117"/>
      <x:c r="C7" s="117"/>
      <x:c r="D7" s="117"/>
      <x:c r="E7" s="117"/>
      <x:c r="F7" s="117"/>
      <x:c r="G7" s="117"/>
      <x:c r="H7" s="117"/>
      <x:c r="I7" s="117"/>
      <x:c r="J7" s="117"/>
      <x:c r="K7" s="120" t="str">
        <x:v>ML</x:v>
      </x:c>
    </x:row>
    <x:row r="8">
      <x:c r="A8" s="120" t="str">
        <x:v>No implementado</x:v>
      </x:c>
      <x:c r="B8" s="117"/>
      <x:c r="C8" s="117"/>
      <x:c r="D8" s="117"/>
      <x:c r="E8" s="117"/>
      <x:c r="F8" s="117"/>
      <x:c r="G8" s="117"/>
      <x:c r="H8" s="117"/>
      <x:c r="I8" s="117"/>
      <x:c r="J8" s="117"/>
      <x:c r="K8" s="120" t="str">
        <x:v>Documentación</x:v>
      </x:c>
    </x:row>
    <x:row r="9">
      <x:c r="A9" s="120" t="str">
        <x:v>No aplica</x:v>
      </x:c>
      <x:c r="B9" s="117"/>
      <x:c r="C9" s="117"/>
      <x:c r="D9" s="117"/>
      <x:c r="E9" s="117"/>
      <x:c r="F9" s="117"/>
      <x:c r="G9" s="117"/>
      <x:c r="H9" s="117"/>
      <x:c r="I9" s="117"/>
      <x:c r="J9" s="117"/>
      <x:c r="K9" s="120" t="str">
        <x:v>Pruebas</x:v>
      </x:c>
    </x:row>
    <x:row r="10">
      <x:c r="A10" s="117"/>
      <x:c r="B10" s="117"/>
      <x:c r="C10" s="117"/>
      <x:c r="D10" s="117"/>
      <x:c r="E10" s="117"/>
      <x:c r="F10" s="117"/>
      <x:c r="G10" s="117"/>
      <x:c r="H10" s="117"/>
      <x:c r="I10" s="117"/>
      <x:c r="J10" s="117"/>
      <x:c r="K10" s="120" t="str">
        <x:v>DevOps</x:v>
      </x:c>
    </x:row>
    <x:row r="11">
      <x:c r="A11" s="117"/>
      <x:c r="B11" s="117"/>
      <x:c r="C11" s="117"/>
      <x:c r="D11" s="117"/>
      <x:c r="E11" s="117"/>
      <x:c r="F11" s="117"/>
      <x:c r="G11" s="117"/>
      <x:c r="H11" s="117"/>
      <x:c r="I11" s="117"/>
      <x:c r="J11" s="117"/>
      <x:c r="K11" s="120" t="str">
        <x:v>Seguridad</x:v>
      </x:c>
    </x:row>
    <x:row r="12">
      <x:c r="A12" s="117"/>
      <x:c r="B12" s="117"/>
      <x:c r="C12" s="117"/>
      <x:c r="D12" s="117"/>
      <x:c r="E12" s="117"/>
      <x:c r="F12" s="117"/>
      <x:c r="G12" s="117"/>
      <x:c r="H12" s="117"/>
      <x:c r="I12" s="117"/>
      <x:c r="J12" s="117"/>
      <x:c r="K12" s="120" t="str">
        <x:v>Reportes</x:v>
      </x:c>
    </x:row>
    <x:row r="13">
      <x:c r="A13" s="117"/>
      <x:c r="B13" s="117"/>
      <x:c r="C13" s="117"/>
      <x:c r="D13" s="117"/>
      <x:c r="E13" s="117"/>
      <x:c r="F13" s="117"/>
      <x:c r="G13" s="117"/>
      <x:c r="H13" s="117"/>
      <x:c r="I13" s="117"/>
      <x:c r="J13" s="117"/>
      <x:c r="K13" s="120" t="str">
        <x:v>Integración</x:v>
      </x:c>
    </x:row>
    <x:row r="14">
      <x:c r="A14" s="117"/>
      <x:c r="B14" s="117"/>
      <x:c r="C14" s="117"/>
      <x:c r="D14" s="117"/>
      <x:c r="E14" s="117"/>
      <x:c r="F14" s="117"/>
      <x:c r="G14" s="117"/>
      <x:c r="H14" s="117"/>
      <x:c r="I14" s="117"/>
      <x:c r="J14" s="117"/>
      <x:c r="K14" s="120" t="str">
        <x:v>Validación institucional</x:v>
      </x:c>
    </x:row>
    <x:row r="15">
      <x:c r="A15" s="117"/>
      <x:c r="B15" s="117"/>
      <x:c r="C15" s="117"/>
      <x:c r="D15" s="117"/>
      <x:c r="E15" s="117"/>
      <x:c r="F15" s="117"/>
      <x:c r="G15" s="117"/>
      <x:c r="H15" s="117"/>
      <x:c r="I15" s="117"/>
      <x:c r="J15" s="117"/>
      <x:c r="K15" s="117"/>
    </x:row>
    <x:row r="16">
      <x:c r="A16" s="117"/>
      <x:c r="B16" s="117"/>
      <x:c r="C16" s="117"/>
      <x:c r="D16" s="117"/>
      <x:c r="E16" s="117"/>
      <x:c r="F16" s="117"/>
      <x:c r="G16" s="117"/>
      <x:c r="H16" s="117"/>
      <x:c r="I16" s="117"/>
      <x:c r="J16" s="117"/>
      <x:c r="K16" s="117"/>
    </x:row>
    <x:row r="17">
      <x:c r="A17" s="117"/>
      <x:c r="B17" s="117"/>
      <x:c r="C17" s="117"/>
      <x:c r="D17" s="117"/>
      <x:c r="E17" s="117"/>
      <x:c r="F17" s="117"/>
      <x:c r="G17" s="117"/>
      <x:c r="H17" s="117"/>
      <x:c r="I17" s="117"/>
      <x:c r="J17" s="117"/>
      <x:c r="K17" s="117"/>
    </x:row>
    <x:row r="18">
      <x:c r="A18" s="117"/>
      <x:c r="B18" s="117"/>
      <x:c r="C18" s="117"/>
      <x:c r="D18" s="117"/>
      <x:c r="E18" s="117"/>
      <x:c r="F18" s="117"/>
      <x:c r="G18" s="117"/>
      <x:c r="H18" s="117"/>
      <x:c r="I18" s="117"/>
      <x:c r="J18" s="117"/>
      <x:c r="K18" s="117"/>
    </x:row>
    <x:row r="19">
      <x:c r="A19" s="117"/>
      <x:c r="B19" s="117"/>
      <x:c r="C19" s="117"/>
      <x:c r="D19" s="117"/>
      <x:c r="E19" s="117"/>
      <x:c r="F19" s="117"/>
      <x:c r="G19" s="117"/>
      <x:c r="H19" s="117"/>
      <x:c r="I19" s="117"/>
      <x:c r="J19" s="117"/>
      <x:c r="K19" s="117"/>
    </x:row>
    <x:row r="20">
      <x:c r="A20" s="117"/>
      <x:c r="B20" s="117"/>
      <x:c r="C20" s="117"/>
      <x:c r="D20" s="117"/>
      <x:c r="E20" s="117"/>
      <x:c r="F20" s="117"/>
      <x:c r="G20" s="117"/>
      <x:c r="H20" s="117"/>
      <x:c r="I20" s="117"/>
      <x:c r="J20" s="117"/>
      <x:c r="K20" s="117"/>
    </x:row>
    <x:row r="21">
      <x:c r="A21" s="117"/>
      <x:c r="B21" s="117"/>
      <x:c r="C21" s="117"/>
      <x:c r="D21" s="117"/>
      <x:c r="E21" s="117"/>
      <x:c r="F21" s="117"/>
      <x:c r="G21" s="117"/>
      <x:c r="H21" s="117"/>
      <x:c r="I21" s="117"/>
      <x:c r="J21" s="117"/>
      <x:c r="K21" s="117"/>
    </x:row>
    <x:row r="22">
      <x:c r="A22" s="117"/>
      <x:c r="B22" s="117"/>
      <x:c r="C22" s="117"/>
      <x:c r="D22" s="117"/>
      <x:c r="E22" s="117"/>
      <x:c r="F22" s="117"/>
      <x:c r="G22" s="117"/>
      <x:c r="H22" s="117"/>
      <x:c r="I22" s="117"/>
      <x:c r="J22" s="117"/>
      <x:c r="K22" s="117"/>
    </x:row>
    <x:row r="23">
      <x:c r="A23" s="117"/>
      <x:c r="B23" s="117"/>
      <x:c r="C23" s="117"/>
      <x:c r="D23" s="117"/>
      <x:c r="E23" s="117"/>
      <x:c r="F23" s="117"/>
      <x:c r="G23" s="117"/>
      <x:c r="H23" s="117"/>
      <x:c r="I23" s="117"/>
      <x:c r="J23" s="117"/>
      <x:c r="K23" s="117"/>
    </x:row>
    <x:row r="24">
      <x:c r="A24" s="117"/>
      <x:c r="B24" s="117"/>
      <x:c r="C24" s="117"/>
      <x:c r="D24" s="117"/>
      <x:c r="E24" s="117"/>
      <x:c r="F24" s="117"/>
      <x:c r="G24" s="117"/>
      <x:c r="H24" s="117"/>
      <x:c r="I24" s="117"/>
      <x:c r="J24" s="117"/>
      <x:c r="K24" s="117"/>
    </x:row>
    <x:row r="25">
      <x:c r="A25" s="117"/>
      <x:c r="B25" s="117"/>
      <x:c r="C25" s="117"/>
      <x:c r="D25" s="117"/>
      <x:c r="E25" s="117"/>
      <x:c r="F25" s="117"/>
      <x:c r="G25" s="117"/>
      <x:c r="H25" s="117"/>
      <x:c r="I25" s="117"/>
      <x:c r="J25" s="117"/>
      <x:c r="K25" s="117"/>
    </x:row>
    <x:row r="26">
      <x:c r="A26" s="117"/>
      <x:c r="B26" s="117"/>
      <x:c r="C26" s="117"/>
      <x:c r="D26" s="117"/>
      <x:c r="E26" s="117"/>
      <x:c r="F26" s="117"/>
      <x:c r="G26" s="117"/>
      <x:c r="H26" s="117"/>
      <x:c r="I26" s="117"/>
      <x:c r="J26" s="117"/>
      <x:c r="K26" s="117"/>
    </x:row>
    <x:row r="27">
      <x:c r="A27" s="117"/>
      <x:c r="B27" s="117"/>
      <x:c r="C27" s="117"/>
      <x:c r="D27" s="117"/>
      <x:c r="E27" s="117"/>
      <x:c r="F27" s="117"/>
      <x:c r="G27" s="117"/>
      <x:c r="H27" s="117"/>
      <x:c r="I27" s="117"/>
      <x:c r="J27" s="117"/>
      <x:c r="K27" s="117"/>
    </x:row>
    <x:row r="28">
      <x:c r="A28" s="117"/>
      <x:c r="B28" s="117"/>
      <x:c r="C28" s="117"/>
      <x:c r="D28" s="117"/>
      <x:c r="E28" s="117"/>
      <x:c r="F28" s="117"/>
      <x:c r="G28" s="117"/>
      <x:c r="H28" s="117"/>
      <x:c r="I28" s="117"/>
      <x:c r="J28" s="117"/>
      <x:c r="K28" s="117"/>
    </x:row>
    <x:row r="29">
      <x:c r="A29" s="117"/>
      <x:c r="B29" s="117"/>
      <x:c r="C29" s="117"/>
      <x:c r="D29" s="117"/>
      <x:c r="E29" s="117"/>
      <x:c r="F29" s="117"/>
      <x:c r="G29" s="117"/>
      <x:c r="H29" s="117"/>
      <x:c r="I29" s="117"/>
      <x:c r="J29" s="117"/>
      <x:c r="K29" s="117"/>
    </x:row>
    <x:row r="30">
      <x:c r="A30" s="117"/>
      <x:c r="B30" s="117"/>
      <x:c r="C30" s="117"/>
      <x:c r="D30" s="117"/>
      <x:c r="E30" s="117"/>
      <x:c r="F30" s="117"/>
      <x:c r="G30" s="117"/>
      <x:c r="H30" s="117"/>
      <x:c r="I30" s="117"/>
      <x:c r="J30" s="117"/>
      <x:c r="K30" s="117"/>
    </x:row>
    <x:row r="31">
      <x:c r="A31" s="117"/>
      <x:c r="B31" s="117"/>
      <x:c r="C31" s="117"/>
      <x:c r="D31" s="117"/>
      <x:c r="E31" s="117"/>
      <x:c r="F31" s="117"/>
      <x:c r="G31" s="117"/>
      <x:c r="H31" s="117"/>
      <x:c r="I31" s="117"/>
      <x:c r="J31" s="117"/>
      <x:c r="K31" s="117"/>
    </x:row>
    <x:row r="32">
      <x:c r="A32" s="117"/>
      <x:c r="B32" s="117"/>
      <x:c r="C32" s="117"/>
      <x:c r="D32" s="117"/>
      <x:c r="E32" s="117"/>
      <x:c r="F32" s="117"/>
      <x:c r="G32" s="117"/>
      <x:c r="H32" s="117"/>
      <x:c r="I32" s="117"/>
      <x:c r="J32" s="117"/>
      <x:c r="K32" s="117"/>
    </x:row>
    <x:row r="33">
      <x:c r="A33" s="117"/>
      <x:c r="B33" s="117"/>
      <x:c r="C33" s="117"/>
      <x:c r="D33" s="117"/>
      <x:c r="E33" s="117"/>
      <x:c r="F33" s="117"/>
      <x:c r="G33" s="117"/>
      <x:c r="H33" s="117"/>
      <x:c r="I33" s="117"/>
      <x:c r="J33" s="117"/>
      <x:c r="K33" s="117"/>
    </x:row>
    <x:row r="34">
      <x:c r="A34" s="117"/>
      <x:c r="B34" s="117"/>
      <x:c r="C34" s="117"/>
      <x:c r="D34" s="117"/>
      <x:c r="E34" s="117"/>
      <x:c r="F34" s="117"/>
      <x:c r="G34" s="117"/>
      <x:c r="H34" s="117"/>
      <x:c r="I34" s="117"/>
      <x:c r="J34" s="117"/>
      <x:c r="K34" s="117"/>
    </x:row>
    <x:row r="35">
      <x:c r="A35" s="117"/>
      <x:c r="B35" s="117"/>
      <x:c r="C35" s="117"/>
      <x:c r="D35" s="117"/>
      <x:c r="E35" s="117"/>
      <x:c r="F35" s="117"/>
      <x:c r="G35" s="117"/>
      <x:c r="H35" s="117"/>
      <x:c r="I35" s="117"/>
      <x:c r="J35" s="117"/>
      <x:c r="K35" s="117"/>
    </x:row>
    <x:row r="36">
      <x:c r="A36" s="117"/>
      <x:c r="B36" s="117"/>
      <x:c r="C36" s="117"/>
      <x:c r="D36" s="117"/>
      <x:c r="E36" s="117"/>
      <x:c r="F36" s="117"/>
      <x:c r="G36" s="117"/>
      <x:c r="H36" s="117"/>
      <x:c r="I36" s="117"/>
      <x:c r="J36" s="117"/>
      <x:c r="K36" s="117"/>
    </x:row>
    <x:row r="37">
      <x:c r="A37" s="117"/>
      <x:c r="B37" s="117"/>
      <x:c r="C37" s="117"/>
      <x:c r="D37" s="117"/>
      <x:c r="E37" s="117"/>
      <x:c r="F37" s="117"/>
      <x:c r="G37" s="117"/>
      <x:c r="H37" s="117"/>
      <x:c r="I37" s="117"/>
      <x:c r="J37" s="117"/>
      <x:c r="K37" s="117"/>
    </x:row>
    <x:row r="38">
      <x:c r="A38" s="117"/>
      <x:c r="B38" s="117"/>
      <x:c r="C38" s="117"/>
      <x:c r="D38" s="117"/>
      <x:c r="E38" s="117"/>
      <x:c r="F38" s="117"/>
      <x:c r="G38" s="117"/>
      <x:c r="H38" s="117"/>
      <x:c r="I38" s="117"/>
      <x:c r="J38" s="117"/>
      <x:c r="K38" s="117"/>
    </x:row>
    <x:row r="39">
      <x:c r="A39" s="117"/>
      <x:c r="B39" s="117"/>
      <x:c r="C39" s="117"/>
      <x:c r="D39" s="117"/>
      <x:c r="E39" s="117"/>
      <x:c r="F39" s="117"/>
      <x:c r="G39" s="117"/>
      <x:c r="H39" s="117"/>
      <x:c r="I39" s="117"/>
      <x:c r="J39" s="117"/>
      <x:c r="K39" s="117"/>
    </x:row>
    <x:row r="40">
      <x:c r="A40" s="117"/>
      <x:c r="B40" s="117"/>
      <x:c r="C40" s="117"/>
      <x:c r="D40" s="117"/>
      <x:c r="E40" s="117"/>
      <x:c r="F40" s="117"/>
      <x:c r="G40" s="117"/>
      <x:c r="H40" s="117"/>
      <x:c r="I40" s="117"/>
      <x:c r="J40" s="117"/>
      <x:c r="K40" s="117"/>
    </x:row>
    <x:row r="41">
      <x:c r="A41" s="117"/>
      <x:c r="B41" s="117"/>
      <x:c r="C41" s="117"/>
      <x:c r="D41" s="117"/>
      <x:c r="E41" s="117"/>
      <x:c r="F41" s="117"/>
      <x:c r="G41" s="117"/>
      <x:c r="H41" s="117"/>
      <x:c r="I41" s="117"/>
      <x:c r="J41" s="117"/>
      <x:c r="K41" s="117"/>
    </x:row>
    <x:row r="42">
      <x:c r="A42" s="117"/>
      <x:c r="B42" s="117"/>
      <x:c r="C42" s="117"/>
      <x:c r="D42" s="117"/>
      <x:c r="E42" s="117"/>
      <x:c r="F42" s="117"/>
      <x:c r="G42" s="117"/>
      <x:c r="H42" s="117"/>
      <x:c r="I42" s="117"/>
      <x:c r="J42" s="117"/>
      <x:c r="K42" s="117"/>
    </x:row>
    <x:row r="43">
      <x:c r="A43" s="117"/>
      <x:c r="B43" s="117"/>
      <x:c r="C43" s="117"/>
      <x:c r="D43" s="117"/>
      <x:c r="E43" s="117"/>
      <x:c r="F43" s="117"/>
      <x:c r="G43" s="117"/>
      <x:c r="H43" s="117"/>
      <x:c r="I43" s="117"/>
      <x:c r="J43" s="117"/>
      <x:c r="K43" s="117"/>
    </x:row>
    <x:row r="44">
      <x:c r="A44" s="117"/>
      <x:c r="B44" s="117"/>
      <x:c r="C44" s="117"/>
      <x:c r="D44" s="117"/>
      <x:c r="E44" s="117"/>
      <x:c r="F44" s="117"/>
      <x:c r="G44" s="117"/>
      <x:c r="H44" s="117"/>
      <x:c r="I44" s="117"/>
      <x:c r="J44" s="117"/>
      <x:c r="K44" s="117"/>
    </x:row>
    <x:row r="45">
      <x:c r="A45" s="117"/>
      <x:c r="B45" s="117"/>
      <x:c r="C45" s="117"/>
      <x:c r="D45" s="117"/>
      <x:c r="E45" s="117"/>
      <x:c r="F45" s="117"/>
      <x:c r="G45" s="117"/>
      <x:c r="H45" s="117"/>
      <x:c r="I45" s="117"/>
      <x:c r="J45" s="117"/>
      <x:c r="K45" s="117"/>
    </x:row>
    <x:row r="46">
      <x:c r="A46" s="117"/>
      <x:c r="B46" s="117"/>
      <x:c r="C46" s="117"/>
      <x:c r="D46" s="117"/>
      <x:c r="E46" s="117"/>
      <x:c r="F46" s="117"/>
      <x:c r="G46" s="117"/>
      <x:c r="H46" s="117"/>
      <x:c r="I46" s="117"/>
      <x:c r="J46" s="117"/>
      <x:c r="K46" s="117"/>
    </x:row>
    <x:row r="47">
      <x:c r="A47" s="117"/>
      <x:c r="B47" s="117"/>
      <x:c r="C47" s="117"/>
      <x:c r="D47" s="117"/>
      <x:c r="E47" s="117"/>
      <x:c r="F47" s="117"/>
      <x:c r="G47" s="117"/>
      <x:c r="H47" s="117"/>
      <x:c r="I47" s="117"/>
      <x:c r="J47" s="117"/>
      <x:c r="K47" s="117"/>
    </x:row>
    <x:row r="48">
      <x:c r="A48" s="117"/>
      <x:c r="B48" s="117"/>
      <x:c r="C48" s="117"/>
      <x:c r="D48" s="117"/>
      <x:c r="E48" s="117"/>
      <x:c r="F48" s="117"/>
      <x:c r="G48" s="117"/>
      <x:c r="H48" s="117"/>
      <x:c r="I48" s="117"/>
      <x:c r="J48" s="117"/>
      <x:c r="K48" s="117"/>
    </x:row>
    <x:row r="49">
      <x:c r="A49" s="117"/>
      <x:c r="B49" s="117"/>
      <x:c r="C49" s="117"/>
      <x:c r="D49" s="117"/>
      <x:c r="E49" s="117"/>
      <x:c r="F49" s="117"/>
      <x:c r="G49" s="117"/>
      <x:c r="H49" s="117"/>
      <x:c r="I49" s="117"/>
      <x:c r="J49" s="117"/>
      <x:c r="K49" s="117"/>
    </x:row>
    <x:row r="50">
      <x:c r="A50" s="117"/>
      <x:c r="B50" s="117"/>
      <x:c r="C50" s="117"/>
      <x:c r="D50" s="117"/>
      <x:c r="E50" s="117"/>
      <x:c r="F50" s="117"/>
      <x:c r="G50" s="117"/>
      <x:c r="H50" s="117"/>
      <x:c r="I50" s="117"/>
      <x:c r="J50" s="117"/>
      <x:c r="K50" s="117"/>
    </x:row>
    <x:row r="51">
      <x:c r="A51" s="117"/>
      <x:c r="B51" s="117"/>
      <x:c r="C51" s="117"/>
      <x:c r="D51" s="117"/>
      <x:c r="E51" s="117"/>
      <x:c r="F51" s="117"/>
      <x:c r="G51" s="117"/>
      <x:c r="H51" s="117"/>
      <x:c r="I51" s="117"/>
      <x:c r="J51" s="117"/>
      <x:c r="K51" s="117"/>
    </x:row>
    <x:row r="52">
      <x:c r="A52" s="117"/>
      <x:c r="B52" s="117"/>
      <x:c r="C52" s="117"/>
      <x:c r="D52" s="117"/>
      <x:c r="E52" s="117"/>
      <x:c r="F52" s="117"/>
      <x:c r="G52" s="117"/>
      <x:c r="H52" s="117"/>
      <x:c r="I52" s="117"/>
      <x:c r="J52" s="117"/>
      <x:c r="K52" s="117"/>
    </x:row>
    <x:row r="53">
      <x:c r="A53" s="117"/>
      <x:c r="B53" s="117"/>
      <x:c r="C53" s="117"/>
      <x:c r="D53" s="117"/>
      <x:c r="E53" s="117"/>
      <x:c r="F53" s="117"/>
      <x:c r="G53" s="117"/>
      <x:c r="H53" s="117"/>
      <x:c r="I53" s="117"/>
      <x:c r="J53" s="117"/>
      <x:c r="K53" s="117"/>
    </x:row>
    <x:row r="54">
      <x:c r="A54" s="117"/>
      <x:c r="B54" s="117"/>
      <x:c r="C54" s="117"/>
      <x:c r="D54" s="117"/>
      <x:c r="E54" s="117"/>
      <x:c r="F54" s="117"/>
      <x:c r="G54" s="117"/>
      <x:c r="H54" s="117"/>
      <x:c r="I54" s="117"/>
      <x:c r="J54" s="117"/>
      <x:c r="K54" s="117"/>
    </x:row>
    <x:row r="55">
      <x:c r="A55" s="117"/>
      <x:c r="B55" s="117"/>
      <x:c r="C55" s="117"/>
      <x:c r="D55" s="117"/>
      <x:c r="E55" s="117"/>
      <x:c r="F55" s="117"/>
      <x:c r="G55" s="117"/>
      <x:c r="H55" s="117"/>
      <x:c r="I55" s="117"/>
      <x:c r="J55" s="117"/>
      <x:c r="K55" s="117"/>
    </x:row>
    <x:row r="56">
      <x:c r="A56" s="117"/>
      <x:c r="B56" s="117"/>
      <x:c r="C56" s="117"/>
      <x:c r="D56" s="117"/>
      <x:c r="E56" s="117"/>
      <x:c r="F56" s="117"/>
      <x:c r="G56" s="117"/>
      <x:c r="H56" s="117"/>
      <x:c r="I56" s="117"/>
      <x:c r="J56" s="117"/>
      <x:c r="K56" s="117"/>
    </x:row>
    <x:row r="57">
      <x:c r="A57" s="117"/>
      <x:c r="B57" s="117"/>
      <x:c r="C57" s="117"/>
      <x:c r="D57" s="117"/>
      <x:c r="E57" s="117"/>
      <x:c r="F57" s="117"/>
      <x:c r="G57" s="117"/>
      <x:c r="H57" s="117"/>
      <x:c r="I57" s="117"/>
      <x:c r="J57" s="117"/>
      <x:c r="K57" s="117"/>
    </x:row>
    <x:row r="58">
      <x:c r="A58" s="117"/>
      <x:c r="B58" s="117"/>
      <x:c r="C58" s="117"/>
      <x:c r="D58" s="117"/>
      <x:c r="E58" s="117"/>
      <x:c r="F58" s="117"/>
      <x:c r="G58" s="117"/>
      <x:c r="H58" s="117"/>
      <x:c r="I58" s="117"/>
      <x:c r="J58" s="117"/>
      <x:c r="K58" s="117"/>
    </x:row>
    <x:row r="59">
      <x:c r="A59" s="117"/>
      <x:c r="B59" s="117"/>
      <x:c r="C59" s="117"/>
      <x:c r="D59" s="117"/>
      <x:c r="E59" s="117"/>
      <x:c r="F59" s="117"/>
      <x:c r="G59" s="117"/>
      <x:c r="H59" s="117"/>
      <x:c r="I59" s="117"/>
      <x:c r="J59" s="117"/>
      <x:c r="K59" s="117"/>
    </x:row>
    <x:row r="60">
      <x:c r="A60" s="117"/>
      <x:c r="B60" s="117"/>
      <x:c r="C60" s="117"/>
      <x:c r="D60" s="117"/>
      <x:c r="E60" s="117"/>
      <x:c r="F60" s="117"/>
      <x:c r="G60" s="117"/>
      <x:c r="H60" s="117"/>
      <x:c r="I60" s="117"/>
      <x:c r="J60" s="117"/>
      <x:c r="K60" s="117"/>
    </x:row>
    <x:row r="61">
      <x:c r="A61" s="117"/>
      <x:c r="B61" s="117"/>
      <x:c r="C61" s="117"/>
      <x:c r="D61" s="117"/>
      <x:c r="E61" s="117"/>
      <x:c r="F61" s="117"/>
      <x:c r="G61" s="117"/>
      <x:c r="H61" s="117"/>
      <x:c r="I61" s="117"/>
      <x:c r="J61" s="117"/>
      <x:c r="K61" s="117"/>
    </x:row>
    <x:row r="62">
      <x:c r="A62" s="117"/>
      <x:c r="B62" s="117"/>
      <x:c r="C62" s="117"/>
      <x:c r="D62" s="117"/>
      <x:c r="E62" s="117"/>
      <x:c r="F62" s="117"/>
      <x:c r="G62" s="117"/>
      <x:c r="H62" s="117"/>
      <x:c r="I62" s="117"/>
      <x:c r="J62" s="117"/>
      <x:c r="K62" s="117"/>
    </x:row>
    <x:row r="63">
      <x:c r="A63" s="117"/>
      <x:c r="B63" s="117"/>
      <x:c r="C63" s="117"/>
      <x:c r="D63" s="117"/>
      <x:c r="E63" s="117"/>
      <x:c r="F63" s="117"/>
      <x:c r="G63" s="117"/>
      <x:c r="H63" s="117"/>
      <x:c r="I63" s="117"/>
      <x:c r="J63" s="117"/>
      <x:c r="K63" s="117"/>
    </x:row>
    <x:row r="64">
      <x:c r="A64" s="117"/>
      <x:c r="B64" s="117"/>
      <x:c r="C64" s="117"/>
      <x:c r="D64" s="117"/>
      <x:c r="E64" s="117"/>
      <x:c r="F64" s="117"/>
      <x:c r="G64" s="117"/>
      <x:c r="H64" s="117"/>
      <x:c r="I64" s="117"/>
      <x:c r="J64" s="117"/>
      <x:c r="K64" s="117"/>
    </x:row>
    <x:row r="65">
      <x:c r="A65" s="117"/>
      <x:c r="B65" s="117"/>
      <x:c r="C65" s="117"/>
      <x:c r="D65" s="117"/>
      <x:c r="E65" s="117"/>
      <x:c r="F65" s="117"/>
      <x:c r="G65" s="117"/>
      <x:c r="H65" s="117"/>
      <x:c r="I65" s="117"/>
      <x:c r="J65" s="117"/>
      <x:c r="K65" s="117"/>
    </x:row>
    <x:row r="66">
      <x:c r="A66" s="117"/>
      <x:c r="B66" s="117"/>
      <x:c r="C66" s="117"/>
      <x:c r="D66" s="117"/>
      <x:c r="E66" s="117"/>
      <x:c r="F66" s="117"/>
      <x:c r="G66" s="117"/>
      <x:c r="H66" s="117"/>
      <x:c r="I66" s="117"/>
      <x:c r="J66" s="117"/>
      <x:c r="K66" s="117"/>
    </x:row>
    <x:row r="67">
      <x:c r="A67" s="117"/>
      <x:c r="B67" s="117"/>
      <x:c r="C67" s="117"/>
      <x:c r="D67" s="117"/>
      <x:c r="E67" s="117"/>
      <x:c r="F67" s="117"/>
      <x:c r="G67" s="117"/>
      <x:c r="H67" s="117"/>
      <x:c r="I67" s="117"/>
      <x:c r="J67" s="117"/>
      <x:c r="K67" s="117"/>
    </x:row>
    <x:row r="68">
      <x:c r="A68" s="117"/>
      <x:c r="B68" s="117"/>
      <x:c r="C68" s="117"/>
      <x:c r="D68" s="117"/>
      <x:c r="E68" s="117"/>
      <x:c r="F68" s="117"/>
      <x:c r="G68" s="117"/>
      <x:c r="H68" s="117"/>
      <x:c r="I68" s="117"/>
      <x:c r="J68" s="117"/>
      <x:c r="K68" s="117"/>
    </x:row>
    <x:row r="69">
      <x:c r="A69" s="117"/>
      <x:c r="B69" s="117"/>
      <x:c r="C69" s="117"/>
      <x:c r="D69" s="117"/>
      <x:c r="E69" s="117"/>
      <x:c r="F69" s="117"/>
      <x:c r="G69" s="117"/>
      <x:c r="H69" s="117"/>
      <x:c r="I69" s="117"/>
      <x:c r="J69" s="117"/>
      <x:c r="K69" s="117"/>
    </x:row>
    <x:row r="70">
      <x:c r="A70" s="117"/>
      <x:c r="B70" s="117"/>
      <x:c r="C70" s="117"/>
      <x:c r="D70" s="117"/>
      <x:c r="E70" s="117"/>
      <x:c r="F70" s="117"/>
      <x:c r="G70" s="117"/>
      <x:c r="H70" s="117"/>
      <x:c r="I70" s="117"/>
      <x:c r="J70" s="117"/>
      <x:c r="K70" s="117"/>
    </x:row>
    <x:row r="71">
      <x:c r="A71" s="117"/>
      <x:c r="B71" s="117"/>
      <x:c r="C71" s="117"/>
      <x:c r="D71" s="117"/>
      <x:c r="E71" s="117"/>
      <x:c r="F71" s="117"/>
      <x:c r="G71" s="117"/>
      <x:c r="H71" s="117"/>
      <x:c r="I71" s="117"/>
      <x:c r="J71" s="117"/>
      <x:c r="K71" s="117"/>
    </x:row>
    <x:row r="72">
      <x:c r="A72" s="117"/>
      <x:c r="B72" s="117"/>
      <x:c r="C72" s="117"/>
      <x:c r="D72" s="117"/>
      <x:c r="E72" s="117"/>
      <x:c r="F72" s="117"/>
      <x:c r="G72" s="117"/>
      <x:c r="H72" s="117"/>
      <x:c r="I72" s="117"/>
      <x:c r="J72" s="117"/>
      <x:c r="K72" s="117"/>
    </x:row>
    <x:row r="73">
      <x:c r="A73" s="117"/>
      <x:c r="B73" s="117"/>
      <x:c r="C73" s="117"/>
      <x:c r="D73" s="117"/>
      <x:c r="E73" s="117"/>
      <x:c r="F73" s="117"/>
      <x:c r="G73" s="117"/>
      <x:c r="H73" s="117"/>
      <x:c r="I73" s="117"/>
      <x:c r="J73" s="117"/>
      <x:c r="K73" s="117"/>
    </x:row>
    <x:row r="74">
      <x:c r="A74" s="117"/>
      <x:c r="B74" s="117"/>
      <x:c r="C74" s="117"/>
      <x:c r="D74" s="117"/>
      <x:c r="E74" s="117"/>
      <x:c r="F74" s="117"/>
      <x:c r="G74" s="117"/>
      <x:c r="H74" s="117"/>
      <x:c r="I74" s="117"/>
      <x:c r="J74" s="117"/>
      <x:c r="K74" s="117"/>
    </x:row>
    <x:row r="75">
      <x:c r="A75" s="117"/>
      <x:c r="B75" s="117"/>
      <x:c r="C75" s="117"/>
      <x:c r="D75" s="117"/>
      <x:c r="E75" s="117"/>
      <x:c r="F75" s="117"/>
      <x:c r="G75" s="117"/>
      <x:c r="H75" s="117"/>
      <x:c r="I75" s="117"/>
      <x:c r="J75" s="117"/>
      <x:c r="K75" s="117"/>
    </x:row>
    <x:row r="76">
      <x:c r="A76" s="117"/>
      <x:c r="B76" s="117"/>
      <x:c r="C76" s="117"/>
      <x:c r="D76" s="117"/>
      <x:c r="E76" s="117"/>
      <x:c r="F76" s="117"/>
      <x:c r="G76" s="117"/>
      <x:c r="H76" s="117"/>
      <x:c r="I76" s="117"/>
      <x:c r="J76" s="117"/>
      <x:c r="K76" s="117"/>
    </x:row>
    <x:row r="77">
      <x:c r="A77" s="117"/>
      <x:c r="B77" s="117"/>
      <x:c r="C77" s="117"/>
      <x:c r="D77" s="117"/>
      <x:c r="E77" s="117"/>
      <x:c r="F77" s="117"/>
      <x:c r="G77" s="117"/>
      <x:c r="H77" s="117"/>
      <x:c r="I77" s="117"/>
      <x:c r="J77" s="117"/>
      <x:c r="K77" s="117"/>
    </x:row>
    <x:row r="78">
      <x:c r="A78" s="117"/>
      <x:c r="B78" s="117"/>
      <x:c r="C78" s="117"/>
      <x:c r="D78" s="117"/>
      <x:c r="E78" s="117"/>
      <x:c r="F78" s="117"/>
      <x:c r="G78" s="117"/>
      <x:c r="H78" s="117"/>
      <x:c r="I78" s="117"/>
      <x:c r="J78" s="117"/>
      <x:c r="K78" s="117"/>
    </x:row>
    <x:row r="79">
      <x:c r="A79" s="117"/>
      <x:c r="B79" s="117"/>
      <x:c r="C79" s="117"/>
      <x:c r="D79" s="117"/>
      <x:c r="E79" s="117"/>
      <x:c r="F79" s="117"/>
      <x:c r="G79" s="117"/>
      <x:c r="H79" s="117"/>
      <x:c r="I79" s="117"/>
      <x:c r="J79" s="117"/>
      <x:c r="K79" s="117"/>
    </x:row>
    <x:row r="80">
      <x:c r="A80" s="117"/>
      <x:c r="B80" s="117"/>
      <x:c r="C80" s="117"/>
      <x:c r="D80" s="117"/>
      <x:c r="E80" s="117"/>
      <x:c r="F80" s="117"/>
      <x:c r="G80" s="117"/>
      <x:c r="H80" s="117"/>
      <x:c r="I80" s="117"/>
      <x:c r="J80" s="117"/>
      <x:c r="K80" s="117"/>
    </x:row>
    <x:row r="81">
      <x:c r="A81" s="117"/>
      <x:c r="B81" s="117"/>
      <x:c r="C81" s="117"/>
      <x:c r="D81" s="117"/>
      <x:c r="E81" s="117"/>
      <x:c r="F81" s="117"/>
      <x:c r="G81" s="117"/>
      <x:c r="H81" s="117"/>
      <x:c r="I81" s="117"/>
      <x:c r="J81" s="117"/>
      <x:c r="K81" s="117"/>
    </x:row>
    <x:row r="82">
      <x:c r="A82" s="117"/>
      <x:c r="B82" s="117"/>
      <x:c r="C82" s="117"/>
      <x:c r="D82" s="117"/>
      <x:c r="E82" s="117"/>
      <x:c r="F82" s="117"/>
      <x:c r="G82" s="117"/>
      <x:c r="H82" s="117"/>
      <x:c r="I82" s="117"/>
      <x:c r="J82" s="117"/>
      <x:c r="K82" s="117"/>
    </x:row>
    <x:row r="83">
      <x:c r="A83" s="117"/>
      <x:c r="B83" s="117"/>
      <x:c r="C83" s="117"/>
      <x:c r="D83" s="117"/>
      <x:c r="E83" s="117"/>
      <x:c r="F83" s="117"/>
      <x:c r="G83" s="117"/>
      <x:c r="H83" s="117"/>
      <x:c r="I83" s="117"/>
      <x:c r="J83" s="117"/>
      <x:c r="K83" s="117"/>
    </x:row>
    <x:row r="84">
      <x:c r="A84" s="117"/>
      <x:c r="B84" s="117"/>
      <x:c r="C84" s="117"/>
      <x:c r="D84" s="117"/>
      <x:c r="E84" s="117"/>
      <x:c r="F84" s="117"/>
      <x:c r="G84" s="117"/>
      <x:c r="H84" s="117"/>
      <x:c r="I84" s="117"/>
      <x:c r="J84" s="117"/>
      <x:c r="K84" s="117"/>
    </x:row>
    <x:row r="85">
      <x:c r="A85" s="117"/>
      <x:c r="B85" s="117"/>
      <x:c r="C85" s="117"/>
      <x:c r="D85" s="117"/>
      <x:c r="E85" s="117"/>
      <x:c r="F85" s="117"/>
      <x:c r="G85" s="117"/>
      <x:c r="H85" s="117"/>
      <x:c r="I85" s="117"/>
      <x:c r="J85" s="117"/>
      <x:c r="K85" s="117"/>
    </x:row>
    <x:row r="86">
      <x:c r="A86" s="117"/>
      <x:c r="B86" s="117"/>
      <x:c r="C86" s="117"/>
      <x:c r="D86" s="117"/>
      <x:c r="E86" s="117"/>
      <x:c r="F86" s="117"/>
      <x:c r="G86" s="117"/>
      <x:c r="H86" s="117"/>
      <x:c r="I86" s="117"/>
      <x:c r="J86" s="117"/>
      <x:c r="K86" s="117"/>
    </x:row>
    <x:row r="87">
      <x:c r="A87" s="117"/>
      <x:c r="B87" s="117"/>
      <x:c r="C87" s="117"/>
      <x:c r="D87" s="117"/>
      <x:c r="E87" s="117"/>
      <x:c r="F87" s="117"/>
      <x:c r="G87" s="117"/>
      <x:c r="H87" s="117"/>
      <x:c r="I87" s="117"/>
      <x:c r="J87" s="117"/>
      <x:c r="K87" s="117"/>
    </x:row>
    <x:row r="88">
      <x:c r="A88" s="117"/>
      <x:c r="B88" s="117"/>
      <x:c r="C88" s="117"/>
      <x:c r="D88" s="117"/>
      <x:c r="E88" s="117"/>
      <x:c r="F88" s="117"/>
      <x:c r="G88" s="117"/>
      <x:c r="H88" s="117"/>
      <x:c r="I88" s="117"/>
      <x:c r="J88" s="117"/>
      <x:c r="K88" s="117"/>
    </x:row>
    <x:row r="89">
      <x:c r="A89" s="117"/>
      <x:c r="B89" s="117"/>
      <x:c r="C89" s="117"/>
      <x:c r="D89" s="117"/>
      <x:c r="E89" s="117"/>
      <x:c r="F89" s="117"/>
      <x:c r="G89" s="117"/>
      <x:c r="H89" s="117"/>
      <x:c r="I89" s="117"/>
      <x:c r="J89" s="117"/>
      <x:c r="K89" s="117"/>
    </x:row>
    <x:row r="90">
      <x:c r="A90" s="117"/>
      <x:c r="B90" s="117"/>
      <x:c r="C90" s="117"/>
      <x:c r="D90" s="117"/>
      <x:c r="E90" s="117"/>
      <x:c r="F90" s="117"/>
      <x:c r="G90" s="117"/>
      <x:c r="H90" s="117"/>
      <x:c r="I90" s="117"/>
      <x:c r="J90" s="117"/>
      <x:c r="K90" s="117"/>
    </x:row>
    <x:row r="91">
      <x:c r="A91" s="117"/>
      <x:c r="B91" s="117"/>
      <x:c r="C91" s="117"/>
      <x:c r="D91" s="117"/>
      <x:c r="E91" s="117"/>
      <x:c r="F91" s="117"/>
      <x:c r="G91" s="117"/>
      <x:c r="H91" s="117"/>
      <x:c r="I91" s="117"/>
      <x:c r="J91" s="117"/>
      <x:c r="K91" s="117"/>
    </x:row>
    <x:row r="92">
      <x:c r="A92" s="117"/>
      <x:c r="B92" s="117"/>
      <x:c r="C92" s="117"/>
      <x:c r="D92" s="117"/>
      <x:c r="E92" s="117"/>
      <x:c r="F92" s="117"/>
      <x:c r="G92" s="117"/>
      <x:c r="H92" s="117"/>
      <x:c r="I92" s="117"/>
      <x:c r="J92" s="117"/>
      <x:c r="K92" s="117"/>
    </x:row>
    <x:row r="93">
      <x:c r="A93" s="117"/>
      <x:c r="B93" s="117"/>
      <x:c r="C93" s="117"/>
      <x:c r="D93" s="117"/>
      <x:c r="E93" s="117"/>
      <x:c r="F93" s="117"/>
      <x:c r="G93" s="117"/>
      <x:c r="H93" s="117"/>
      <x:c r="I93" s="117"/>
      <x:c r="J93" s="117"/>
      <x:c r="K93" s="117"/>
    </x:row>
    <x:row r="94">
      <x:c r="A94" s="117"/>
      <x:c r="B94" s="117"/>
      <x:c r="C94" s="117"/>
      <x:c r="D94" s="117"/>
      <x:c r="E94" s="117"/>
      <x:c r="F94" s="117"/>
      <x:c r="G94" s="117"/>
      <x:c r="H94" s="117"/>
      <x:c r="I94" s="117"/>
      <x:c r="J94" s="117"/>
      <x:c r="K94" s="117"/>
    </x:row>
    <x:row r="95">
      <x:c r="A95" s="117"/>
      <x:c r="B95" s="117"/>
      <x:c r="C95" s="117"/>
      <x:c r="D95" s="117"/>
      <x:c r="E95" s="117"/>
      <x:c r="F95" s="117"/>
      <x:c r="G95" s="117"/>
      <x:c r="H95" s="117"/>
      <x:c r="I95" s="117"/>
      <x:c r="J95" s="117"/>
      <x:c r="K95" s="117"/>
    </x:row>
    <x:row r="96">
      <x:c r="A96" s="117"/>
      <x:c r="B96" s="117"/>
      <x:c r="C96" s="117"/>
      <x:c r="D96" s="117"/>
      <x:c r="E96" s="117"/>
      <x:c r="F96" s="117"/>
      <x:c r="G96" s="117"/>
      <x:c r="H96" s="117"/>
      <x:c r="I96" s="117"/>
      <x:c r="J96" s="117"/>
      <x:c r="K96" s="117"/>
    </x:row>
    <x:row r="97">
      <x:c r="A97" s="117"/>
      <x:c r="B97" s="117"/>
      <x:c r="C97" s="117"/>
      <x:c r="D97" s="117"/>
      <x:c r="E97" s="117"/>
      <x:c r="F97" s="117"/>
      <x:c r="G97" s="117"/>
      <x:c r="H97" s="117"/>
      <x:c r="I97" s="117"/>
      <x:c r="J97" s="117"/>
      <x:c r="K97" s="117"/>
    </x:row>
    <x:row r="98">
      <x:c r="A98" s="117"/>
      <x:c r="B98" s="117"/>
      <x:c r="C98" s="117"/>
      <x:c r="D98" s="117"/>
      <x:c r="E98" s="117"/>
      <x:c r="F98" s="117"/>
      <x:c r="G98" s="117"/>
      <x:c r="H98" s="117"/>
      <x:c r="I98" s="117"/>
      <x:c r="J98" s="117"/>
      <x:c r="K98" s="117"/>
    </x:row>
    <x:row r="99">
      <x:c r="A99" s="117"/>
      <x:c r="B99" s="117"/>
      <x:c r="C99" s="117"/>
      <x:c r="D99" s="117"/>
      <x:c r="E99" s="117"/>
      <x:c r="F99" s="117"/>
      <x:c r="G99" s="117"/>
      <x:c r="H99" s="117"/>
      <x:c r="I99" s="117"/>
      <x:c r="J99" s="117"/>
      <x:c r="K99" s="117"/>
    </x:row>
    <x:row r="100">
      <x:c r="A100" s="117"/>
      <x:c r="B100" s="117"/>
      <x:c r="C100" s="117"/>
      <x:c r="D100" s="117"/>
      <x:c r="E100" s="117"/>
      <x:c r="F100" s="117"/>
      <x:c r="G100" s="117"/>
      <x:c r="H100" s="117"/>
      <x:c r="I100" s="117"/>
      <x:c r="J100" s="117"/>
      <x:c r="K100" s="117"/>
    </x:row>
    <x:row r="101">
      <x:c r="A101" s="117"/>
      <x:c r="B101" s="117"/>
      <x:c r="C101" s="117"/>
      <x:c r="D101" s="117"/>
      <x:c r="E101" s="117"/>
      <x:c r="F101" s="117"/>
      <x:c r="G101" s="117"/>
      <x:c r="H101" s="117"/>
      <x:c r="I101" s="117"/>
      <x:c r="J101" s="117"/>
      <x:c r="K101" s="117"/>
    </x:row>
    <x:row r="102">
      <x:c r="A102" s="117"/>
      <x:c r="B102" s="117"/>
      <x:c r="C102" s="117"/>
      <x:c r="D102" s="117"/>
      <x:c r="E102" s="117"/>
      <x:c r="F102" s="117"/>
      <x:c r="G102" s="117"/>
      <x:c r="H102" s="117"/>
      <x:c r="I102" s="117"/>
      <x:c r="J102" s="117"/>
      <x:c r="K102" s="117"/>
    </x:row>
    <x:row r="103">
      <x:c r="A103" s="117"/>
      <x:c r="B103" s="117"/>
      <x:c r="C103" s="117"/>
      <x:c r="D103" s="117"/>
      <x:c r="E103" s="117"/>
      <x:c r="F103" s="117"/>
      <x:c r="G103" s="117"/>
      <x:c r="H103" s="117"/>
      <x:c r="I103" s="117"/>
      <x:c r="J103" s="117"/>
      <x:c r="K103" s="117"/>
    </x:row>
    <x:row r="104">
      <x:c r="A104" s="117"/>
      <x:c r="B104" s="117"/>
      <x:c r="C104" s="117"/>
      <x:c r="D104" s="117"/>
      <x:c r="E104" s="117"/>
      <x:c r="F104" s="117"/>
      <x:c r="G104" s="117"/>
      <x:c r="H104" s="117"/>
      <x:c r="I104" s="117"/>
      <x:c r="J104" s="117"/>
      <x:c r="K104" s="117"/>
    </x:row>
    <x:row r="105">
      <x:c r="A105" s="117"/>
      <x:c r="B105" s="117"/>
      <x:c r="C105" s="117"/>
      <x:c r="D105" s="117"/>
      <x:c r="E105" s="117"/>
      <x:c r="F105" s="117"/>
      <x:c r="G105" s="117"/>
      <x:c r="H105" s="117"/>
      <x:c r="I105" s="117"/>
      <x:c r="J105" s="117"/>
      <x:c r="K105" s="117"/>
    </x:row>
    <x:row r="106">
      <x:c r="A106" s="117"/>
      <x:c r="B106" s="117"/>
      <x:c r="C106" s="117"/>
      <x:c r="D106" s="117"/>
      <x:c r="E106" s="117"/>
      <x:c r="F106" s="117"/>
      <x:c r="G106" s="117"/>
      <x:c r="H106" s="117"/>
      <x:c r="I106" s="117"/>
      <x:c r="J106" s="117"/>
      <x:c r="K106" s="117"/>
    </x:row>
    <x:row r="107">
      <x:c r="A107" s="117"/>
      <x:c r="B107" s="117"/>
      <x:c r="C107" s="117"/>
      <x:c r="D107" s="117"/>
      <x:c r="E107" s="117"/>
      <x:c r="F107" s="117"/>
      <x:c r="G107" s="117"/>
      <x:c r="H107" s="117"/>
      <x:c r="I107" s="117"/>
      <x:c r="J107" s="117"/>
      <x:c r="K107" s="117"/>
    </x:row>
    <x:row r="108">
      <x:c r="A108" s="117"/>
      <x:c r="B108" s="117"/>
      <x:c r="C108" s="117"/>
      <x:c r="D108" s="117"/>
      <x:c r="E108" s="117"/>
      <x:c r="F108" s="117"/>
      <x:c r="G108" s="117"/>
      <x:c r="H108" s="117"/>
      <x:c r="I108" s="117"/>
      <x:c r="J108" s="117"/>
      <x:c r="K108" s="117"/>
    </x:row>
    <x:row r="109">
      <x:c r="A109" s="117"/>
      <x:c r="B109" s="117"/>
      <x:c r="C109" s="117"/>
      <x:c r="D109" s="117"/>
      <x:c r="E109" s="117"/>
      <x:c r="F109" s="117"/>
      <x:c r="G109" s="117"/>
      <x:c r="H109" s="117"/>
      <x:c r="I109" s="117"/>
      <x:c r="J109" s="117"/>
      <x:c r="K109" s="117"/>
    </x:row>
    <x:row r="110">
      <x:c r="A110" s="117"/>
      <x:c r="B110" s="117"/>
      <x:c r="C110" s="117"/>
      <x:c r="D110" s="117"/>
      <x:c r="E110" s="117"/>
      <x:c r="F110" s="117"/>
      <x:c r="G110" s="117"/>
      <x:c r="H110" s="117"/>
      <x:c r="I110" s="117"/>
      <x:c r="J110" s="117"/>
      <x:c r="K110" s="117"/>
    </x:row>
    <x:row r="111">
      <x:c r="A111" s="117"/>
      <x:c r="B111" s="117"/>
      <x:c r="C111" s="117"/>
      <x:c r="D111" s="117"/>
      <x:c r="E111" s="117"/>
      <x:c r="F111" s="117"/>
      <x:c r="G111" s="117"/>
      <x:c r="H111" s="117"/>
      <x:c r="I111" s="117"/>
      <x:c r="J111" s="117"/>
      <x:c r="K111" s="117"/>
    </x:row>
    <x:row r="112">
      <x:c r="A112" s="117"/>
      <x:c r="B112" s="117"/>
      <x:c r="C112" s="117"/>
      <x:c r="D112" s="117"/>
      <x:c r="E112" s="117"/>
      <x:c r="F112" s="117"/>
      <x:c r="G112" s="117"/>
      <x:c r="H112" s="117"/>
      <x:c r="I112" s="117"/>
      <x:c r="J112" s="117"/>
      <x:c r="K112" s="117"/>
    </x:row>
    <x:row r="113">
      <x:c r="A113" s="117"/>
      <x:c r="B113" s="117"/>
      <x:c r="C113" s="117"/>
      <x:c r="D113" s="117"/>
      <x:c r="E113" s="117"/>
      <x:c r="F113" s="117"/>
      <x:c r="G113" s="117"/>
      <x:c r="H113" s="117"/>
      <x:c r="I113" s="117"/>
      <x:c r="J113" s="117"/>
      <x:c r="K113" s="117"/>
    </x:row>
    <x:row r="114">
      <x:c r="A114" s="117"/>
      <x:c r="B114" s="117"/>
      <x:c r="C114" s="117"/>
      <x:c r="D114" s="117"/>
      <x:c r="E114" s="117"/>
      <x:c r="F114" s="117"/>
      <x:c r="G114" s="117"/>
      <x:c r="H114" s="117"/>
      <x:c r="I114" s="117"/>
      <x:c r="J114" s="117"/>
      <x:c r="K114" s="117"/>
    </x:row>
    <x:row r="115">
      <x:c r="A115" s="117"/>
      <x:c r="B115" s="117"/>
      <x:c r="C115" s="117"/>
      <x:c r="D115" s="117"/>
      <x:c r="E115" s="117"/>
      <x:c r="F115" s="117"/>
      <x:c r="G115" s="117"/>
      <x:c r="H115" s="117"/>
      <x:c r="I115" s="117"/>
      <x:c r="J115" s="117"/>
      <x:c r="K115" s="117"/>
    </x:row>
    <x:row r="116">
      <x:c r="A116" s="117"/>
      <x:c r="B116" s="117"/>
      <x:c r="C116" s="117"/>
      <x:c r="D116" s="117"/>
      <x:c r="E116" s="117"/>
      <x:c r="F116" s="117"/>
      <x:c r="G116" s="117"/>
      <x:c r="H116" s="117"/>
      <x:c r="I116" s="117"/>
      <x:c r="J116" s="117"/>
      <x:c r="K116" s="117"/>
    </x:row>
    <x:row r="117">
      <x:c r="A117" s="117"/>
      <x:c r="B117" s="117"/>
      <x:c r="C117" s="117"/>
      <x:c r="D117" s="117"/>
      <x:c r="E117" s="117"/>
      <x:c r="F117" s="117"/>
      <x:c r="G117" s="117"/>
      <x:c r="H117" s="117"/>
      <x:c r="I117" s="117"/>
      <x:c r="J117" s="117"/>
      <x:c r="K117" s="117"/>
    </x:row>
    <x:row r="118">
      <x:c r="A118" s="117"/>
      <x:c r="B118" s="117"/>
      <x:c r="C118" s="117"/>
      <x:c r="D118" s="117"/>
      <x:c r="E118" s="117"/>
      <x:c r="F118" s="117"/>
      <x:c r="G118" s="117"/>
      <x:c r="H118" s="117"/>
      <x:c r="I118" s="117"/>
      <x:c r="J118" s="117"/>
      <x:c r="K118" s="117"/>
    </x:row>
    <x:row r="119">
      <x:c r="A119" s="117"/>
      <x:c r="B119" s="117"/>
      <x:c r="C119" s="117"/>
      <x:c r="D119" s="117"/>
      <x:c r="E119" s="117"/>
      <x:c r="F119" s="117"/>
      <x:c r="G119" s="117"/>
      <x:c r="H119" s="117"/>
      <x:c r="I119" s="117"/>
      <x:c r="J119" s="117"/>
      <x:c r="K119" s="117"/>
    </x:row>
    <x:row r="120">
      <x:c r="A120" s="117"/>
      <x:c r="B120" s="117"/>
      <x:c r="C120" s="117"/>
      <x:c r="D120" s="117"/>
      <x:c r="E120" s="117"/>
      <x:c r="F120" s="117"/>
      <x:c r="G120" s="117"/>
      <x:c r="H120" s="117"/>
      <x:c r="I120" s="117"/>
      <x:c r="J120" s="117"/>
      <x:c r="K120" s="117"/>
    </x:row>
    <x:row r="121">
      <x:c r="A121" s="117"/>
      <x:c r="B121" s="117"/>
      <x:c r="C121" s="117"/>
      <x:c r="D121" s="117"/>
      <x:c r="E121" s="117"/>
      <x:c r="F121" s="117"/>
      <x:c r="G121" s="117"/>
      <x:c r="H121" s="117"/>
      <x:c r="I121" s="117"/>
      <x:c r="J121" s="117"/>
      <x:c r="K121" s="117"/>
    </x:row>
    <x:row r="122">
      <x:c r="A122" s="117"/>
      <x:c r="B122" s="117"/>
      <x:c r="C122" s="117"/>
      <x:c r="D122" s="117"/>
      <x:c r="E122" s="117"/>
      <x:c r="F122" s="117"/>
      <x:c r="G122" s="117"/>
      <x:c r="H122" s="117"/>
      <x:c r="I122" s="117"/>
      <x:c r="J122" s="117"/>
      <x:c r="K122" s="117"/>
    </x:row>
    <x:row r="123">
      <x:c r="A123" s="117"/>
      <x:c r="B123" s="117"/>
      <x:c r="C123" s="117"/>
      <x:c r="D123" s="117"/>
      <x:c r="E123" s="117"/>
      <x:c r="F123" s="117"/>
      <x:c r="G123" s="117"/>
      <x:c r="H123" s="117"/>
      <x:c r="I123" s="117"/>
      <x:c r="J123" s="117"/>
      <x:c r="K123" s="117"/>
    </x:row>
    <x:row r="124">
      <x:c r="A124" s="117"/>
      <x:c r="B124" s="117"/>
      <x:c r="C124" s="117"/>
      <x:c r="D124" s="117"/>
      <x:c r="E124" s="117"/>
      <x:c r="F124" s="117"/>
      <x:c r="G124" s="117"/>
      <x:c r="H124" s="117"/>
      <x:c r="I124" s="117"/>
      <x:c r="J124" s="117"/>
      <x:c r="K124" s="117"/>
    </x:row>
    <x:row r="125">
      <x:c r="A125" s="117"/>
      <x:c r="B125" s="117"/>
      <x:c r="C125" s="117"/>
      <x:c r="D125" s="117"/>
      <x:c r="E125" s="117"/>
      <x:c r="F125" s="117"/>
      <x:c r="G125" s="117"/>
      <x:c r="H125" s="117"/>
      <x:c r="I125" s="117"/>
      <x:c r="J125" s="117"/>
      <x:c r="K125" s="117"/>
    </x:row>
    <x:row r="126">
      <x:c r="A126" s="117"/>
      <x:c r="B126" s="117"/>
      <x:c r="C126" s="117"/>
      <x:c r="D126" s="117"/>
      <x:c r="E126" s="117"/>
      <x:c r="F126" s="117"/>
      <x:c r="G126" s="117"/>
      <x:c r="H126" s="117"/>
      <x:c r="I126" s="117"/>
      <x:c r="J126" s="117"/>
      <x:c r="K126" s="117"/>
    </x:row>
    <x:row r="127">
      <x:c r="A127" s="117"/>
      <x:c r="B127" s="117"/>
      <x:c r="C127" s="117"/>
      <x:c r="D127" s="117"/>
      <x:c r="E127" s="117"/>
      <x:c r="F127" s="117"/>
      <x:c r="G127" s="117"/>
      <x:c r="H127" s="117"/>
      <x:c r="I127" s="117"/>
      <x:c r="J127" s="117"/>
      <x:c r="K127" s="117"/>
    </x:row>
    <x:row r="128">
      <x:c r="A128" s="117"/>
      <x:c r="B128" s="117"/>
      <x:c r="C128" s="117"/>
      <x:c r="D128" s="117"/>
      <x:c r="E128" s="117"/>
      <x:c r="F128" s="117"/>
      <x:c r="G128" s="117"/>
      <x:c r="H128" s="117"/>
      <x:c r="I128" s="117"/>
      <x:c r="J128" s="117"/>
      <x:c r="K128" s="117"/>
    </x:row>
    <x:row r="129">
      <x:c r="A129" s="117"/>
      <x:c r="B129" s="117"/>
      <x:c r="C129" s="117"/>
      <x:c r="D129" s="117"/>
      <x:c r="E129" s="117"/>
      <x:c r="F129" s="117"/>
      <x:c r="G129" s="117"/>
      <x:c r="H129" s="117"/>
      <x:c r="I129" s="117"/>
      <x:c r="J129" s="117"/>
      <x:c r="K129" s="117"/>
    </x:row>
    <x:row r="130">
      <x:c r="A130" s="117"/>
      <x:c r="B130" s="117"/>
      <x:c r="C130" s="117"/>
      <x:c r="D130" s="117"/>
      <x:c r="E130" s="117"/>
      <x:c r="F130" s="117"/>
      <x:c r="G130" s="117"/>
      <x:c r="H130" s="117"/>
      <x:c r="I130" s="117"/>
      <x:c r="J130" s="117"/>
      <x:c r="K130" s="117"/>
    </x:row>
    <x:row r="131">
      <x:c r="A131" s="117"/>
      <x:c r="B131" s="117"/>
      <x:c r="C131" s="117"/>
      <x:c r="D131" s="117"/>
      <x:c r="E131" s="117"/>
      <x:c r="F131" s="117"/>
      <x:c r="G131" s="117"/>
      <x:c r="H131" s="117"/>
      <x:c r="I131" s="117"/>
      <x:c r="J131" s="117"/>
      <x:c r="K131" s="117"/>
    </x:row>
    <x:row r="132">
      <x:c r="A132" s="117"/>
      <x:c r="B132" s="117"/>
      <x:c r="C132" s="117"/>
      <x:c r="D132" s="117"/>
      <x:c r="E132" s="117"/>
      <x:c r="F132" s="117"/>
      <x:c r="G132" s="117"/>
      <x:c r="H132" s="117"/>
      <x:c r="I132" s="117"/>
      <x:c r="J132" s="117"/>
      <x:c r="K132" s="117"/>
    </x:row>
    <x:row r="133">
      <x:c r="A133" s="117"/>
      <x:c r="B133" s="117"/>
      <x:c r="C133" s="117"/>
      <x:c r="D133" s="117"/>
      <x:c r="E133" s="117"/>
      <x:c r="F133" s="117"/>
      <x:c r="G133" s="117"/>
      <x:c r="H133" s="117"/>
      <x:c r="I133" s="117"/>
      <x:c r="J133" s="117"/>
      <x:c r="K133" s="117"/>
    </x:row>
    <x:row r="134">
      <x:c r="A134" s="117"/>
      <x:c r="B134" s="117"/>
      <x:c r="C134" s="117"/>
      <x:c r="D134" s="117"/>
      <x:c r="E134" s="117"/>
      <x:c r="F134" s="117"/>
      <x:c r="G134" s="117"/>
      <x:c r="H134" s="117"/>
      <x:c r="I134" s="117"/>
      <x:c r="J134" s="117"/>
      <x:c r="K134" s="117"/>
    </x:row>
    <x:row r="135">
      <x:c r="A135" s="117"/>
      <x:c r="B135" s="117"/>
      <x:c r="C135" s="117"/>
      <x:c r="D135" s="117"/>
      <x:c r="E135" s="117"/>
      <x:c r="F135" s="117"/>
      <x:c r="G135" s="117"/>
      <x:c r="H135" s="117"/>
      <x:c r="I135" s="117"/>
      <x:c r="J135" s="117"/>
      <x:c r="K135" s="117"/>
    </x:row>
    <x:row r="136">
      <x:c r="A136" s="117"/>
      <x:c r="B136" s="117"/>
      <x:c r="C136" s="117"/>
      <x:c r="D136" s="117"/>
      <x:c r="E136" s="117"/>
      <x:c r="F136" s="117"/>
      <x:c r="G136" s="117"/>
      <x:c r="H136" s="117"/>
      <x:c r="I136" s="117"/>
      <x:c r="J136" s="117"/>
      <x:c r="K136" s="117"/>
    </x:row>
    <x:row r="137">
      <x:c r="A137" s="117"/>
      <x:c r="B137" s="117"/>
      <x:c r="C137" s="117"/>
      <x:c r="D137" s="117"/>
      <x:c r="E137" s="117"/>
      <x:c r="F137" s="117"/>
      <x:c r="G137" s="117"/>
      <x:c r="H137" s="117"/>
      <x:c r="I137" s="117"/>
      <x:c r="J137" s="117"/>
      <x:c r="K137" s="117"/>
    </x:row>
    <x:row r="138">
      <x:c r="A138" s="117"/>
      <x:c r="B138" s="117"/>
      <x:c r="C138" s="117"/>
      <x:c r="D138" s="117"/>
      <x:c r="E138" s="117"/>
      <x:c r="F138" s="117"/>
      <x:c r="G138" s="117"/>
      <x:c r="H138" s="117"/>
      <x:c r="I138" s="117"/>
      <x:c r="J138" s="117"/>
      <x:c r="K138" s="117"/>
    </x:row>
    <x:row r="139">
      <x:c r="A139" s="117"/>
      <x:c r="B139" s="117"/>
      <x:c r="C139" s="117"/>
      <x:c r="D139" s="117"/>
      <x:c r="E139" s="117"/>
      <x:c r="F139" s="117"/>
      <x:c r="G139" s="117"/>
      <x:c r="H139" s="117"/>
      <x:c r="I139" s="117"/>
      <x:c r="J139" s="117"/>
      <x:c r="K139" s="117"/>
    </x:row>
    <x:row r="140">
      <x:c r="A140" s="117"/>
      <x:c r="B140" s="117"/>
      <x:c r="C140" s="117"/>
      <x:c r="D140" s="117"/>
      <x:c r="E140" s="117"/>
      <x:c r="F140" s="117"/>
      <x:c r="G140" s="117"/>
      <x:c r="H140" s="117"/>
      <x:c r="I140" s="117"/>
      <x:c r="J140" s="117"/>
      <x:c r="K140" s="117"/>
    </x:row>
    <x:row r="141">
      <x:c r="A141" s="117"/>
      <x:c r="B141" s="117"/>
      <x:c r="C141" s="117"/>
      <x:c r="D141" s="117"/>
      <x:c r="E141" s="117"/>
      <x:c r="F141" s="117"/>
      <x:c r="G141" s="117"/>
      <x:c r="H141" s="117"/>
      <x:c r="I141" s="117"/>
      <x:c r="J141" s="117"/>
      <x:c r="K141" s="117"/>
    </x:row>
    <x:row r="142">
      <x:c r="A142" s="117"/>
      <x:c r="B142" s="117"/>
      <x:c r="C142" s="117"/>
      <x:c r="D142" s="117"/>
      <x:c r="E142" s="117"/>
      <x:c r="F142" s="117"/>
      <x:c r="G142" s="117"/>
      <x:c r="H142" s="117"/>
      <x:c r="I142" s="117"/>
      <x:c r="J142" s="117"/>
      <x:c r="K142" s="117"/>
    </x:row>
    <x:row r="143">
      <x:c r="A143" s="117"/>
      <x:c r="B143" s="117"/>
      <x:c r="C143" s="117"/>
      <x:c r="D143" s="117"/>
      <x:c r="E143" s="117"/>
      <x:c r="F143" s="117"/>
      <x:c r="G143" s="117"/>
      <x:c r="H143" s="117"/>
      <x:c r="I143" s="117"/>
      <x:c r="J143" s="117"/>
      <x:c r="K143" s="117"/>
    </x:row>
    <x:row r="144">
      <x:c r="A144" s="117"/>
      <x:c r="B144" s="117"/>
      <x:c r="C144" s="117"/>
      <x:c r="D144" s="117"/>
      <x:c r="E144" s="117"/>
      <x:c r="F144" s="117"/>
      <x:c r="G144" s="117"/>
      <x:c r="H144" s="117"/>
      <x:c r="I144" s="117"/>
      <x:c r="J144" s="117"/>
      <x:c r="K144" s="117"/>
    </x:row>
    <x:row r="145">
      <x:c r="A145" s="117"/>
      <x:c r="B145" s="117"/>
      <x:c r="C145" s="117"/>
      <x:c r="D145" s="117"/>
      <x:c r="E145" s="117"/>
      <x:c r="F145" s="117"/>
      <x:c r="G145" s="117"/>
      <x:c r="H145" s="117"/>
      <x:c r="I145" s="117"/>
      <x:c r="J145" s="117"/>
      <x:c r="K145" s="117"/>
    </x:row>
    <x:row r="146">
      <x:c r="A146" s="117"/>
      <x:c r="B146" s="117"/>
      <x:c r="C146" s="117"/>
      <x:c r="D146" s="117"/>
      <x:c r="E146" s="117"/>
      <x:c r="F146" s="117"/>
      <x:c r="G146" s="117"/>
      <x:c r="H146" s="117"/>
      <x:c r="I146" s="117"/>
      <x:c r="J146" s="117"/>
      <x:c r="K146" s="117"/>
    </x:row>
    <x:row r="147">
      <x:c r="A147" s="117"/>
      <x:c r="B147" s="117"/>
      <x:c r="C147" s="117"/>
      <x:c r="D147" s="117"/>
      <x:c r="E147" s="117"/>
      <x:c r="F147" s="117"/>
      <x:c r="G147" s="117"/>
      <x:c r="H147" s="117"/>
      <x:c r="I147" s="117"/>
      <x:c r="J147" s="117"/>
      <x:c r="K147" s="117"/>
    </x:row>
    <x:row r="148">
      <x:c r="A148" s="117"/>
      <x:c r="B148" s="117"/>
      <x:c r="C148" s="117"/>
      <x:c r="D148" s="117"/>
      <x:c r="E148" s="117"/>
      <x:c r="F148" s="117"/>
      <x:c r="G148" s="117"/>
      <x:c r="H148" s="117"/>
      <x:c r="I148" s="117"/>
      <x:c r="J148" s="117"/>
      <x:c r="K148" s="117"/>
    </x:row>
    <x:row r="149">
      <x:c r="A149" s="117"/>
      <x:c r="B149" s="117"/>
      <x:c r="C149" s="117"/>
      <x:c r="D149" s="117"/>
      <x:c r="E149" s="117"/>
      <x:c r="F149" s="117"/>
      <x:c r="G149" s="117"/>
      <x:c r="H149" s="117"/>
      <x:c r="I149" s="117"/>
      <x:c r="J149" s="117"/>
      <x:c r="K149" s="117"/>
    </x:row>
    <x:row r="150">
      <x:c r="A150" s="117"/>
      <x:c r="B150" s="117"/>
      <x:c r="C150" s="117"/>
      <x:c r="D150" s="117"/>
      <x:c r="E150" s="117"/>
      <x:c r="F150" s="117"/>
      <x:c r="G150" s="117"/>
      <x:c r="H150" s="117"/>
      <x:c r="I150" s="117"/>
      <x:c r="J150" s="117"/>
      <x:c r="K150" s="117"/>
    </x:row>
    <x:row r="151">
      <x:c r="A151" s="117"/>
      <x:c r="B151" s="117"/>
      <x:c r="C151" s="117"/>
      <x:c r="D151" s="117"/>
      <x:c r="E151" s="117"/>
      <x:c r="F151" s="117"/>
      <x:c r="G151" s="117"/>
      <x:c r="H151" s="117"/>
      <x:c r="I151" s="117"/>
      <x:c r="J151" s="117"/>
      <x:c r="K151" s="117"/>
    </x:row>
    <x:row r="152">
      <x:c r="A152" s="117"/>
      <x:c r="B152" s="117"/>
      <x:c r="C152" s="117"/>
      <x:c r="D152" s="117"/>
      <x:c r="E152" s="117"/>
      <x:c r="F152" s="117"/>
      <x:c r="G152" s="117"/>
      <x:c r="H152" s="117"/>
      <x:c r="I152" s="117"/>
      <x:c r="J152" s="117"/>
      <x:c r="K152" s="117"/>
    </x:row>
    <x:row r="153">
      <x:c r="A153" s="117"/>
      <x:c r="B153" s="117"/>
      <x:c r="C153" s="117"/>
      <x:c r="D153" s="117"/>
      <x:c r="E153" s="117"/>
      <x:c r="F153" s="117"/>
      <x:c r="G153" s="117"/>
      <x:c r="H153" s="117"/>
      <x:c r="I153" s="117"/>
      <x:c r="J153" s="117"/>
      <x:c r="K153" s="117"/>
    </x:row>
    <x:row r="154">
      <x:c r="A154" s="117"/>
      <x:c r="B154" s="117"/>
      <x:c r="C154" s="117"/>
      <x:c r="D154" s="117"/>
      <x:c r="E154" s="117"/>
      <x:c r="F154" s="117"/>
      <x:c r="G154" s="117"/>
      <x:c r="H154" s="117"/>
      <x:c r="I154" s="117"/>
      <x:c r="J154" s="117"/>
      <x:c r="K154" s="117"/>
    </x:row>
    <x:row r="155">
      <x:c r="A155" s="117"/>
      <x:c r="B155" s="117"/>
      <x:c r="C155" s="117"/>
      <x:c r="D155" s="117"/>
      <x:c r="E155" s="117"/>
      <x:c r="F155" s="117"/>
      <x:c r="G155" s="117"/>
      <x:c r="H155" s="117"/>
      <x:c r="I155" s="117"/>
      <x:c r="J155" s="117"/>
      <x:c r="K155" s="117"/>
    </x:row>
    <x:row r="156">
      <x:c r="A156" s="117"/>
      <x:c r="B156" s="117"/>
      <x:c r="C156" s="117"/>
      <x:c r="D156" s="117"/>
      <x:c r="E156" s="117"/>
      <x:c r="F156" s="117"/>
      <x:c r="G156" s="117"/>
      <x:c r="H156" s="117"/>
      <x:c r="I156" s="117"/>
      <x:c r="J156" s="117"/>
      <x:c r="K156" s="117"/>
    </x:row>
    <x:row r="157">
      <x:c r="A157" s="117"/>
      <x:c r="B157" s="117"/>
      <x:c r="C157" s="117"/>
      <x:c r="D157" s="117"/>
      <x:c r="E157" s="117"/>
      <x:c r="F157" s="117"/>
      <x:c r="G157" s="117"/>
      <x:c r="H157" s="117"/>
      <x:c r="I157" s="117"/>
      <x:c r="J157" s="117"/>
      <x:c r="K157" s="117"/>
    </x:row>
    <x:row r="158">
      <x:c r="A158" s="117"/>
      <x:c r="B158" s="117"/>
      <x:c r="C158" s="117"/>
      <x:c r="D158" s="117"/>
      <x:c r="E158" s="117"/>
      <x:c r="F158" s="117"/>
      <x:c r="G158" s="117"/>
      <x:c r="H158" s="117"/>
      <x:c r="I158" s="117"/>
      <x:c r="J158" s="117"/>
      <x:c r="K158" s="117"/>
    </x:row>
    <x:row r="159">
      <x:c r="A159" s="117"/>
      <x:c r="B159" s="117"/>
      <x:c r="C159" s="117"/>
      <x:c r="D159" s="117"/>
      <x:c r="E159" s="117"/>
      <x:c r="F159" s="117"/>
      <x:c r="G159" s="117"/>
      <x:c r="H159" s="117"/>
      <x:c r="I159" s="117"/>
      <x:c r="J159" s="117"/>
      <x:c r="K159" s="117"/>
    </x:row>
    <x:row r="160">
      <x:c r="A160" s="117"/>
      <x:c r="B160" s="117"/>
      <x:c r="C160" s="117"/>
      <x:c r="D160" s="117"/>
      <x:c r="E160" s="117"/>
      <x:c r="F160" s="117"/>
      <x:c r="G160" s="117"/>
      <x:c r="H160" s="117"/>
      <x:c r="I160" s="117"/>
      <x:c r="J160" s="117"/>
      <x:c r="K160" s="117"/>
    </x:row>
    <x:row r="161">
      <x:c r="A161" s="117"/>
      <x:c r="B161" s="117"/>
      <x:c r="C161" s="117"/>
      <x:c r="D161" s="117"/>
      <x:c r="E161" s="117"/>
      <x:c r="F161" s="117"/>
      <x:c r="G161" s="117"/>
      <x:c r="H161" s="117"/>
      <x:c r="I161" s="117"/>
      <x:c r="J161" s="117"/>
      <x:c r="K161" s="117"/>
    </x:row>
    <x:row r="162">
      <x:c r="A162" s="117"/>
      <x:c r="B162" s="117"/>
      <x:c r="C162" s="117"/>
      <x:c r="D162" s="117"/>
      <x:c r="E162" s="117"/>
      <x:c r="F162" s="117"/>
      <x:c r="G162" s="117"/>
      <x:c r="H162" s="117"/>
      <x:c r="I162" s="117"/>
      <x:c r="J162" s="117"/>
      <x:c r="K162" s="117"/>
    </x:row>
    <x:row r="163">
      <x:c r="A163" s="117"/>
      <x:c r="B163" s="117"/>
      <x:c r="C163" s="117"/>
      <x:c r="D163" s="117"/>
      <x:c r="E163" s="117"/>
      <x:c r="F163" s="117"/>
      <x:c r="G163" s="117"/>
      <x:c r="H163" s="117"/>
      <x:c r="I163" s="117"/>
      <x:c r="J163" s="117"/>
      <x:c r="K163" s="117"/>
    </x:row>
    <x:row r="164">
      <x:c r="A164" s="117"/>
      <x:c r="B164" s="117"/>
      <x:c r="C164" s="117"/>
      <x:c r="D164" s="117"/>
      <x:c r="E164" s="117"/>
      <x:c r="F164" s="117"/>
      <x:c r="G164" s="117"/>
      <x:c r="H164" s="117"/>
      <x:c r="I164" s="117"/>
      <x:c r="J164" s="117"/>
      <x:c r="K164" s="117"/>
    </x:row>
    <x:row r="165">
      <x:c r="A165" s="117"/>
      <x:c r="B165" s="117"/>
      <x:c r="C165" s="117"/>
      <x:c r="D165" s="117"/>
      <x:c r="E165" s="117"/>
      <x:c r="F165" s="117"/>
      <x:c r="G165" s="117"/>
      <x:c r="H165" s="117"/>
      <x:c r="I165" s="117"/>
      <x:c r="J165" s="117"/>
      <x:c r="K165" s="117"/>
    </x:row>
    <x:row r="166">
      <x:c r="A166" s="117"/>
      <x:c r="B166" s="117"/>
      <x:c r="C166" s="117"/>
      <x:c r="D166" s="117"/>
      <x:c r="E166" s="117"/>
      <x:c r="F166" s="117"/>
      <x:c r="G166" s="117"/>
      <x:c r="H166" s="117"/>
      <x:c r="I166" s="117"/>
      <x:c r="J166" s="117"/>
      <x:c r="K166" s="117"/>
    </x:row>
    <x:row r="167">
      <x:c r="A167" s="117"/>
      <x:c r="B167" s="117"/>
      <x:c r="C167" s="117"/>
      <x:c r="D167" s="117"/>
      <x:c r="E167" s="117"/>
      <x:c r="F167" s="117"/>
      <x:c r="G167" s="117"/>
      <x:c r="H167" s="117"/>
      <x:c r="I167" s="117"/>
      <x:c r="J167" s="117"/>
      <x:c r="K167" s="117"/>
    </x:row>
    <x:row r="168">
      <x:c r="A168" s="117"/>
      <x:c r="B168" s="117"/>
      <x:c r="C168" s="117"/>
      <x:c r="D168" s="117"/>
      <x:c r="E168" s="117"/>
      <x:c r="F168" s="117"/>
      <x:c r="G168" s="117"/>
      <x:c r="H168" s="117"/>
      <x:c r="I168" s="117"/>
      <x:c r="J168" s="117"/>
      <x:c r="K168" s="117"/>
    </x:row>
    <x:row r="169">
      <x:c r="A169" s="117"/>
      <x:c r="B169" s="117"/>
      <x:c r="C169" s="117"/>
      <x:c r="D169" s="117"/>
      <x:c r="E169" s="117"/>
      <x:c r="F169" s="117"/>
      <x:c r="G169" s="117"/>
      <x:c r="H169" s="117"/>
      <x:c r="I169" s="117"/>
      <x:c r="J169" s="117"/>
      <x:c r="K169" s="117"/>
    </x:row>
    <x:row r="170">
      <x:c r="A170" s="117"/>
      <x:c r="B170" s="117"/>
      <x:c r="C170" s="117"/>
      <x:c r="D170" s="117"/>
      <x:c r="E170" s="117"/>
      <x:c r="F170" s="117"/>
      <x:c r="G170" s="117"/>
      <x:c r="H170" s="117"/>
      <x:c r="I170" s="117"/>
      <x:c r="J170" s="117"/>
      <x:c r="K170" s="117"/>
    </x:row>
    <x:row r="171">
      <x:c r="A171" s="117"/>
      <x:c r="B171" s="117"/>
      <x:c r="C171" s="117"/>
      <x:c r="D171" s="117"/>
      <x:c r="E171" s="117"/>
      <x:c r="F171" s="117"/>
      <x:c r="G171" s="117"/>
      <x:c r="H171" s="117"/>
      <x:c r="I171" s="117"/>
      <x:c r="J171" s="117"/>
      <x:c r="K171" s="117"/>
    </x:row>
    <x:row r="172">
      <x:c r="A172" s="117"/>
      <x:c r="B172" s="117"/>
      <x:c r="C172" s="117"/>
      <x:c r="D172" s="117"/>
      <x:c r="E172" s="117"/>
      <x:c r="F172" s="117"/>
      <x:c r="G172" s="117"/>
      <x:c r="H172" s="117"/>
      <x:c r="I172" s="117"/>
      <x:c r="J172" s="117"/>
      <x:c r="K172" s="117"/>
    </x:row>
    <x:row r="173">
      <x:c r="A173" s="117"/>
      <x:c r="B173" s="117"/>
      <x:c r="C173" s="117"/>
      <x:c r="D173" s="117"/>
      <x:c r="E173" s="117"/>
      <x:c r="F173" s="117"/>
      <x:c r="G173" s="117"/>
      <x:c r="H173" s="117"/>
      <x:c r="I173" s="117"/>
      <x:c r="J173" s="117"/>
      <x:c r="K173" s="117"/>
    </x:row>
    <x:row r="174">
      <x:c r="A174" s="117"/>
      <x:c r="B174" s="117"/>
      <x:c r="C174" s="117"/>
      <x:c r="D174" s="117"/>
      <x:c r="E174" s="117"/>
      <x:c r="F174" s="117"/>
      <x:c r="G174" s="117"/>
      <x:c r="H174" s="117"/>
      <x:c r="I174" s="117"/>
      <x:c r="J174" s="117"/>
      <x:c r="K174" s="117"/>
    </x:row>
    <x:row r="175">
      <x:c r="A175" s="117"/>
      <x:c r="B175" s="117"/>
      <x:c r="C175" s="117"/>
      <x:c r="D175" s="117"/>
      <x:c r="E175" s="117"/>
      <x:c r="F175" s="117"/>
      <x:c r="G175" s="117"/>
      <x:c r="H175" s="117"/>
      <x:c r="I175" s="117"/>
      <x:c r="J175" s="117"/>
      <x:c r="K175" s="117"/>
    </x:row>
    <x:row r="176">
      <x:c r="A176" s="117"/>
      <x:c r="B176" s="117"/>
      <x:c r="C176" s="117"/>
      <x:c r="D176" s="117"/>
      <x:c r="E176" s="117"/>
      <x:c r="F176" s="117"/>
      <x:c r="G176" s="117"/>
      <x:c r="H176" s="117"/>
      <x:c r="I176" s="117"/>
      <x:c r="J176" s="117"/>
      <x:c r="K176" s="117"/>
    </x:row>
    <x:row r="177">
      <x:c r="A177" s="117"/>
      <x:c r="B177" s="117"/>
      <x:c r="C177" s="117"/>
      <x:c r="D177" s="117"/>
      <x:c r="E177" s="117"/>
      <x:c r="F177" s="117"/>
      <x:c r="G177" s="117"/>
      <x:c r="H177" s="117"/>
      <x:c r="I177" s="117"/>
      <x:c r="J177" s="117"/>
      <x:c r="K177" s="117"/>
    </x:row>
    <x:row r="178">
      <x:c r="A178" s="117"/>
      <x:c r="B178" s="117"/>
      <x:c r="C178" s="117"/>
      <x:c r="D178" s="117"/>
      <x:c r="E178" s="117"/>
      <x:c r="F178" s="117"/>
      <x:c r="G178" s="117"/>
      <x:c r="H178" s="117"/>
      <x:c r="I178" s="117"/>
      <x:c r="J178" s="117"/>
      <x:c r="K178" s="117"/>
    </x:row>
    <x:row r="179">
      <x:c r="A179" s="117"/>
      <x:c r="B179" s="117"/>
      <x:c r="C179" s="117"/>
      <x:c r="D179" s="117"/>
      <x:c r="E179" s="117"/>
      <x:c r="F179" s="117"/>
      <x:c r="G179" s="117"/>
      <x:c r="H179" s="117"/>
      <x:c r="I179" s="117"/>
      <x:c r="J179" s="117"/>
      <x:c r="K179" s="117"/>
    </x:row>
    <x:row r="180">
      <x:c r="A180" s="117"/>
      <x:c r="B180" s="117"/>
      <x:c r="C180" s="117"/>
      <x:c r="D180" s="117"/>
      <x:c r="E180" s="117"/>
      <x:c r="F180" s="117"/>
      <x:c r="G180" s="117"/>
      <x:c r="H180" s="117"/>
      <x:c r="I180" s="117"/>
      <x:c r="J180" s="117"/>
      <x:c r="K180" s="117"/>
    </x:row>
    <x:row r="181">
      <x:c r="A181" s="117"/>
      <x:c r="B181" s="117"/>
      <x:c r="C181" s="117"/>
      <x:c r="D181" s="117"/>
      <x:c r="E181" s="117"/>
      <x:c r="F181" s="117"/>
      <x:c r="G181" s="117"/>
      <x:c r="H181" s="117"/>
      <x:c r="I181" s="117"/>
      <x:c r="J181" s="117"/>
      <x:c r="K181" s="117"/>
    </x:row>
    <x:row r="182">
      <x:c r="A182" s="117"/>
      <x:c r="B182" s="117"/>
      <x:c r="C182" s="117"/>
      <x:c r="D182" s="117"/>
      <x:c r="E182" s="117"/>
      <x:c r="F182" s="117"/>
      <x:c r="G182" s="117"/>
      <x:c r="H182" s="117"/>
      <x:c r="I182" s="117"/>
      <x:c r="J182" s="117"/>
      <x:c r="K182" s="117"/>
    </x:row>
    <x:row r="183">
      <x:c r="A183" s="117"/>
      <x:c r="B183" s="117"/>
      <x:c r="C183" s="117"/>
      <x:c r="D183" s="117"/>
      <x:c r="E183" s="117"/>
      <x:c r="F183" s="117"/>
      <x:c r="G183" s="117"/>
      <x:c r="H183" s="117"/>
      <x:c r="I183" s="117"/>
      <x:c r="J183" s="117"/>
      <x:c r="K183" s="117"/>
    </x:row>
    <x:row r="184">
      <x:c r="A184" s="117"/>
      <x:c r="B184" s="117"/>
      <x:c r="C184" s="117"/>
      <x:c r="D184" s="117"/>
      <x:c r="E184" s="117"/>
      <x:c r="F184" s="117"/>
      <x:c r="G184" s="117"/>
      <x:c r="H184" s="117"/>
      <x:c r="I184" s="117"/>
      <x:c r="J184" s="117"/>
      <x:c r="K184" s="117"/>
    </x:row>
    <x:row r="185">
      <x:c r="A185" s="117"/>
      <x:c r="B185" s="117"/>
      <x:c r="C185" s="117"/>
      <x:c r="D185" s="117"/>
      <x:c r="E185" s="117"/>
      <x:c r="F185" s="117"/>
      <x:c r="G185" s="117"/>
      <x:c r="H185" s="117"/>
      <x:c r="I185" s="117"/>
      <x:c r="J185" s="117"/>
      <x:c r="K185" s="117"/>
    </x:row>
    <x:row r="186">
      <x:c r="A186" s="117"/>
      <x:c r="B186" s="117"/>
      <x:c r="C186" s="117"/>
      <x:c r="D186" s="117"/>
      <x:c r="E186" s="117"/>
      <x:c r="F186" s="117"/>
      <x:c r="G186" s="117"/>
      <x:c r="H186" s="117"/>
      <x:c r="I186" s="117"/>
      <x:c r="J186" s="117"/>
      <x:c r="K186" s="117"/>
    </x:row>
    <x:row r="187">
      <x:c r="A187" s="117"/>
      <x:c r="B187" s="117"/>
      <x:c r="C187" s="117"/>
      <x:c r="D187" s="117"/>
      <x:c r="E187" s="117"/>
      <x:c r="F187" s="117"/>
      <x:c r="G187" s="117"/>
      <x:c r="H187" s="117"/>
      <x:c r="I187" s="117"/>
      <x:c r="J187" s="117"/>
      <x:c r="K187" s="117"/>
    </x:row>
    <x:row r="188">
      <x:c r="A188" s="117"/>
      <x:c r="B188" s="117"/>
      <x:c r="C188" s="117"/>
      <x:c r="D188" s="117"/>
      <x:c r="E188" s="117"/>
      <x:c r="F188" s="117"/>
      <x:c r="G188" s="117"/>
      <x:c r="H188" s="117"/>
      <x:c r="I188" s="117"/>
      <x:c r="J188" s="117"/>
      <x:c r="K188" s="117"/>
    </x:row>
    <x:row r="189">
      <x:c r="A189" s="117"/>
      <x:c r="B189" s="117"/>
      <x:c r="C189" s="117"/>
      <x:c r="D189" s="117"/>
      <x:c r="E189" s="117"/>
      <x:c r="F189" s="117"/>
      <x:c r="G189" s="117"/>
      <x:c r="H189" s="117"/>
      <x:c r="I189" s="117"/>
      <x:c r="J189" s="117"/>
      <x:c r="K189" s="117"/>
    </x:row>
    <x:row r="190">
      <x:c r="A190" s="117"/>
      <x:c r="B190" s="117"/>
      <x:c r="C190" s="117"/>
      <x:c r="D190" s="117"/>
      <x:c r="E190" s="117"/>
      <x:c r="F190" s="117"/>
      <x:c r="G190" s="117"/>
      <x:c r="H190" s="117"/>
      <x:c r="I190" s="117"/>
      <x:c r="J190" s="117"/>
      <x:c r="K190" s="117"/>
    </x:row>
    <x:row r="191">
      <x:c r="A191" s="117"/>
      <x:c r="B191" s="117"/>
      <x:c r="C191" s="117"/>
      <x:c r="D191" s="117"/>
      <x:c r="E191" s="117"/>
      <x:c r="F191" s="117"/>
      <x:c r="G191" s="117"/>
      <x:c r="H191" s="117"/>
      <x:c r="I191" s="117"/>
      <x:c r="J191" s="117"/>
      <x:c r="K191" s="117"/>
    </x:row>
    <x:row r="192">
      <x:c r="A192" s="117"/>
      <x:c r="B192" s="117"/>
      <x:c r="C192" s="117"/>
      <x:c r="D192" s="117"/>
      <x:c r="E192" s="117"/>
      <x:c r="F192" s="117"/>
      <x:c r="G192" s="117"/>
      <x:c r="H192" s="117"/>
      <x:c r="I192" s="117"/>
      <x:c r="J192" s="117"/>
      <x:c r="K192" s="117"/>
    </x:row>
    <x:row r="193">
      <x:c r="A193" s="117"/>
      <x:c r="B193" s="117"/>
      <x:c r="C193" s="117"/>
      <x:c r="D193" s="117"/>
      <x:c r="E193" s="117"/>
      <x:c r="F193" s="117"/>
      <x:c r="G193" s="117"/>
      <x:c r="H193" s="117"/>
      <x:c r="I193" s="117"/>
      <x:c r="J193" s="117"/>
      <x:c r="K193" s="117"/>
    </x:row>
    <x:row r="194">
      <x:c r="A194" s="117"/>
      <x:c r="B194" s="117"/>
      <x:c r="C194" s="117"/>
      <x:c r="D194" s="117"/>
      <x:c r="E194" s="117"/>
      <x:c r="F194" s="117"/>
      <x:c r="G194" s="117"/>
      <x:c r="H194" s="117"/>
      <x:c r="I194" s="117"/>
      <x:c r="J194" s="117"/>
      <x:c r="K194" s="117"/>
    </x:row>
    <x:row r="195">
      <x:c r="A195" s="117"/>
      <x:c r="B195" s="117"/>
      <x:c r="C195" s="117"/>
      <x:c r="D195" s="117"/>
      <x:c r="E195" s="117"/>
      <x:c r="F195" s="117"/>
      <x:c r="G195" s="117"/>
      <x:c r="H195" s="117"/>
      <x:c r="I195" s="117"/>
      <x:c r="J195" s="117"/>
      <x:c r="K195" s="117"/>
    </x:row>
    <x:row r="196">
      <x:c r="A196" s="117"/>
      <x:c r="B196" s="117"/>
      <x:c r="C196" s="117"/>
      <x:c r="D196" s="117"/>
      <x:c r="E196" s="117"/>
      <x:c r="F196" s="117"/>
      <x:c r="G196" s="117"/>
      <x:c r="H196" s="117"/>
      <x:c r="I196" s="117"/>
      <x:c r="J196" s="117"/>
      <x:c r="K196" s="117"/>
    </x:row>
    <x:row r="197">
      <x:c r="A197" s="117"/>
      <x:c r="B197" s="117"/>
      <x:c r="C197" s="117"/>
      <x:c r="D197" s="117"/>
      <x:c r="E197" s="117"/>
      <x:c r="F197" s="117"/>
      <x:c r="G197" s="117"/>
      <x:c r="H197" s="117"/>
      <x:c r="I197" s="117"/>
      <x:c r="J197" s="117"/>
      <x:c r="K197" s="117"/>
    </x:row>
    <x:row r="198">
      <x:c r="A198" s="117"/>
      <x:c r="B198" s="117"/>
      <x:c r="C198" s="117"/>
      <x:c r="D198" s="117"/>
      <x:c r="E198" s="117"/>
      <x:c r="F198" s="117"/>
      <x:c r="G198" s="117"/>
      <x:c r="H198" s="117"/>
      <x:c r="I198" s="117"/>
      <x:c r="J198" s="117"/>
      <x:c r="K198" s="117"/>
    </x:row>
    <x:row r="199">
      <x:c r="A199" s="117"/>
      <x:c r="B199" s="117"/>
      <x:c r="C199" s="117"/>
      <x:c r="D199" s="117"/>
      <x:c r="E199" s="117"/>
      <x:c r="F199" s="117"/>
      <x:c r="G199" s="117"/>
      <x:c r="H199" s="117"/>
      <x:c r="I199" s="117"/>
      <x:c r="J199" s="117"/>
      <x:c r="K199" s="117"/>
    </x:row>
    <x:row r="200">
      <x:c r="A200" s="117"/>
      <x:c r="B200" s="117"/>
      <x:c r="C200" s="117"/>
      <x:c r="D200" s="117"/>
      <x:c r="E200" s="117"/>
      <x:c r="F200" s="117"/>
      <x:c r="G200" s="117"/>
      <x:c r="H200" s="117"/>
      <x:c r="I200" s="117"/>
      <x:c r="J200" s="117"/>
      <x:c r="K200" s="1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55" hidden="0" customWidth="1"/>
    <x:col min="4" max="4" width="16" hidden="0" customWidth="1"/>
    <x:col min="5" max="5" width="12" hidden="0" customWidth="1"/>
    <x:col min="6" max="6" width="12" hidden="0" customWidth="1"/>
    <x:col min="7" max="7" width="35" hidden="0" customWidth="1"/>
    <x:col min="8" max="8" width="65" hidden="0" customWidth="1"/>
  </x:cols>
  <x:sheetData>
    <x:row r="1">
      <x:c r="A1" s="128" t="str">
        <x:v>PENDIENTES CRÍTICOS Y OBSERVADOS</x:v>
      </x:c>
      <x:c r="B1" s="128"/>
      <x:c r="C1" s="128"/>
      <x:c r="D1" s="128"/>
      <x:c r="E1" s="128"/>
      <x:c r="F1" s="128"/>
      <x:c r="G1" s="128"/>
      <x:c r="H1" s="128"/>
      <x:c r="I1" s="117"/>
      <x:c r="J1" s="117"/>
      <x:c r="K1" s="117"/>
    </x:row>
    <x:row r="2">
      <x:c r="A2" s="118" t="str">
        <x:v>Filtra los Bolts de prioridad alta, riesgo alto, observados o no implementados para enfocar la corrección técnica del proyecto.</x:v>
      </x:c>
      <x:c r="B2" s="118"/>
      <x:c r="C2" s="118"/>
      <x:c r="D2" s="118"/>
      <x:c r="E2" s="118"/>
      <x:c r="F2" s="118"/>
      <x:c r="G2" s="118"/>
      <x:c r="H2" s="118"/>
      <x:c r="I2" s="117"/>
      <x:c r="J2" s="117"/>
      <x:c r="K2" s="117"/>
    </x:row>
    <x:row r="3">
      <x:c r="A3" s="117"/>
      <x:c r="B3" s="117"/>
      <x:c r="C3" s="117"/>
      <x:c r="D3" s="117"/>
      <x:c r="E3" s="117"/>
      <x:c r="F3" s="117"/>
      <x:c r="G3" s="117"/>
      <x:c r="H3" s="117"/>
      <x:c r="I3" s="117"/>
      <x:c r="J3" s="117"/>
      <x:c r="K3" s="117"/>
    </x:row>
    <x:row r="4">
      <x:c r="A4" s="130" t="str">
        <x:v>Intent</x:v>
      </x:c>
      <x:c r="B4" s="130" t="str">
        <x:v>ID del Bolt</x:v>
      </x:c>
      <x:c r="C4" s="130" t="str">
        <x:v>Descripción</x:v>
      </x:c>
      <x:c r="D4" s="130" t="str">
        <x:v>Estado</x:v>
      </x:c>
      <x:c r="E4" s="130" t="str">
        <x:v>Prioridad</x:v>
      </x:c>
      <x:c r="F4" s="130" t="str">
        <x:v>Riesgo</x:v>
      </x:c>
      <x:c r="G4" s="130" t="str">
        <x:v>Responsable</x:v>
      </x:c>
      <x:c r="H4" s="130" t="str">
        <x:v>Observaciones</x:v>
      </x:c>
      <x:c r="I4" s="117"/>
      <x:c r="J4" s="117"/>
      <x:c r="K4" s="117"/>
    </x:row>
    <x:row r="5">
      <x:c r="A5" s="120" t="str">
        <x:v>INT-001 Configurar base del proyecto y entorno</x:v>
      </x:c>
      <x:c r="B5" s="120" t="str">
        <x:v>INT-001-BOLT-006</x:v>
      </x:c>
      <x:c r="C5" s="120" t="str">
        <x:v>Configurar microservicio Flask para análisis de riesgo</x:v>
      </x:c>
      <x:c r="D5" s="120" t="str">
        <x:v>Observado</x:v>
      </x:c>
      <x:c r="E5" s="120" t="str">
        <x:v>Alta</x:v>
      </x:c>
      <x:c r="F5" s="120" t="str">
        <x:v>Bajo</x:v>
      </x:c>
      <x:c r="G5" s="120" t="str">
        <x:v>Ernesto Marcial Constantino Chuchon Sotelo</x:v>
      </x:c>
      <x:c r="H5" s="120" t="str">
        <x:v>Flask con endpoint /predict determinístico funcional Corrección QA: Está completado, pero no tiene evidencia de pruebas ejecutadas.</x:v>
      </x:c>
      <x:c r="I5" s="117"/>
      <x:c r="J5" s="117"/>
      <x:c r="K5" s="117"/>
    </x:row>
    <x:row r="6">
      <x:c r="A6" s="120" t="str">
        <x:v>INT-002 Autenticación, usuarios y roles</x:v>
      </x:c>
      <x:c r="B6" s="120" t="str">
        <x:v>INT-002-BOLT-007</x:v>
      </x:c>
      <x:c r="C6" s="120" t="str">
        <x:v>Crear endpoint GET /api/me para obtener usuario y permisos</x:v>
      </x:c>
      <x:c r="D6" s="120" t="str">
        <x:v>Observado</x:v>
      </x:c>
      <x:c r="E6" s="120" t="str">
        <x:v>Alta</x:v>
      </x:c>
      <x:c r="F6" s="120" t="str">
        <x:v>Bajo</x:v>
      </x:c>
      <x:c r="G6" s="120" t="str">
        <x:v>Ernesto Marcial Constantino Chuchon Sotelo</x:v>
      </x:c>
      <x:c r="H6" s="120" t="str">
        <x:v>Endpoint /api/me devuelve usuario, roles y permisos como JSON Corrección QA: Está completado, pero no tiene evidencia de pruebas ejecutadas.</x:v>
      </x:c>
      <x:c r="I6" s="117"/>
      <x:c r="J6" s="117"/>
      <x:c r="K6" s="117"/>
    </x:row>
    <x:row r="7">
      <x:c r="A7" s="120" t="str">
        <x:v>INT-005 Registro de notas</x:v>
      </x:c>
      <x:c r="B7" s="120" t="str">
        <x:v>INT-005-BOLT-014</x:v>
      </x:c>
      <x:c r="C7" s="120" t="str">
        <x:v>Implementar formulario de registro de notas semanales en frontend</x:v>
      </x:c>
      <x:c r="D7" s="120" t="str">
        <x:v>Observado</x:v>
      </x:c>
      <x:c r="E7" s="120" t="str">
        <x:v>Alta</x:v>
      </x:c>
      <x:c r="F7" s="120" t="str">
        <x:v>Bajo</x:v>
      </x:c>
      <x:c r="G7" s="120" t="str">
        <x:v>Diego Ricardo Carhuamaca Vasquez</x:v>
      </x:c>
      <x:c r="H7" s="120" t="str">
        <x:v>Panel completo de registro de notas semanales con filtros, vistas por aula/estudiante, toolbar. Bolt adicional detectado. Corrección QA: Está completado, pero no tiene evidencia de pruebas ejecutadas.</x:v>
      </x:c>
      <x:c r="I7" s="117"/>
      <x:c r="J7" s="117"/>
      <x:c r="K7" s="117"/>
    </x:row>
    <x:row r="8">
      <x:c r="A8" s="120" t="str">
        <x:v>INT-006 Importación de plantillas Excel</x:v>
      </x:c>
      <x:c r="B8" s="120" t="str">
        <x:v>INT-006-BOLT-005</x:v>
      </x:c>
      <x:c r="C8" s="120" t="str">
        <x:v>Importar cursos, competencias, capacidades y temas</x:v>
      </x:c>
      <x:c r="D8" s="120" t="str">
        <x:v>Observado</x:v>
      </x:c>
      <x:c r="E8" s="120" t="str">
        <x:v>Media</x:v>
      </x:c>
      <x:c r="F8" s="120" t="str">
        <x:v>Medio</x:v>
      </x:c>
      <x:c r="G8" s="120" t="str">
        <x:v>Ernesto Marcial Constantino Chuchon Sotelo</x:v>
      </x:c>
      <x:c r="H8" s="120" t="str">
        <x:v>Cursos y competencias se cargan mediante seeders y API, no mediante importación Excel directa</x:v>
      </x:c>
      <x:c r="I8" s="117"/>
      <x:c r="J8" s="117"/>
      <x:c r="K8" s="117"/>
    </x:row>
    <x:row r="9">
      <x:c r="A9" s="120" t="str">
        <x:v>INT-006 Importación de plantillas Excel</x:v>
      </x:c>
      <x:c r="B9" s="120" t="str">
        <x:v>INT-006-BOLT-012</x:v>
      </x:c>
      <x:c r="C9" s="120" t="str">
        <x:v>Probar importación con plantilla de Primaria</x:v>
      </x:c>
      <x:c r="D9" s="120" t="str">
        <x:v>Pendiente</x:v>
      </x:c>
      <x:c r="E9" s="120" t="str">
        <x:v>Alta</x:v>
      </x:c>
      <x:c r="F9" s="120" t="str">
        <x:v>Medio</x:v>
      </x:c>
      <x:c r="G9" s="120" t="str">
        <x:v>Equipo SIDERAE</x:v>
      </x:c>
      <x:c r="H9" s="120" t="str">
        <x:v>No se encontraron tests específicos para plantilla de Primaria</x:v>
      </x:c>
      <x:c r="I9" s="117"/>
      <x:c r="J9" s="117"/>
      <x:c r="K9" s="117"/>
    </x:row>
    <x:row r="10">
      <x:c r="A10" s="120" t="str">
        <x:v>INT-006 Importación de plantillas Excel</x:v>
      </x:c>
      <x:c r="B10" s="120" t="str">
        <x:v>INT-006-BOLT-013</x:v>
      </x:c>
      <x:c r="C10" s="120" t="str">
        <x:v>Probar importación con plantilla de Secundaria</x:v>
      </x:c>
      <x:c r="D10" s="120" t="str">
        <x:v>Pendiente</x:v>
      </x:c>
      <x:c r="E10" s="120" t="str">
        <x:v>Alta</x:v>
      </x:c>
      <x:c r="F10" s="120" t="str">
        <x:v>Medio</x:v>
      </x:c>
      <x:c r="G10" s="120" t="str">
        <x:v>Equipo SIDERAE</x:v>
      </x:c>
      <x:c r="H10" s="120" t="str">
        <x:v>No se encontraron tests específicos para plantilla de Secundaria</x:v>
      </x:c>
      <x:c r="I10" s="117"/>
      <x:c r="J10" s="117"/>
      <x:c r="K10" s="117"/>
    </x:row>
    <x:row r="11">
      <x:c r="A11" s="120" t="str">
        <x:v>INT-007 Registro de asistencia</x:v>
      </x:c>
      <x:c r="B11" s="120" t="str">
        <x:v>INT-007-BOLT-008</x:v>
      </x:c>
      <x:c r="C11" s="120" t="str">
        <x:v>Generar alerta por inasistencia frecuente</x:v>
      </x:c>
      <x:c r="D11" s="120" t="str">
        <x:v>Pendiente</x:v>
      </x:c>
      <x:c r="E11" s="120" t="str">
        <x:v>Alta</x:v>
      </x:c>
      <x:c r="F11" s="120" t="str">
        <x:v>Alto</x:v>
      </x:c>
      <x:c r="G11" s="120" t="str">
        <x:v>Ernesto Marcial Constantino Chuchon Sotelo</x:v>
      </x:c>
      <x:c r="H11" s="120" t="str">
        <x:v>No existe lógica automática de alerta por inasistencia frecuente; funcionalidad pendiente</x:v>
      </x:c>
      <x:c r="I11" s="117"/>
      <x:c r="J11" s="117"/>
      <x:c r="K11" s="117"/>
    </x:row>
    <x:row r="12">
      <x:c r="A12" s="120" t="str">
        <x:v>INT-007 Registro de asistencia</x:v>
      </x:c>
      <x:c r="B12" s="120" t="str">
        <x:v>INT-007-BOLT-011</x:v>
      </x:c>
      <x:c r="C12" s="120" t="str">
        <x:v>Implementar panel frontend de asistencia curricular</x:v>
      </x:c>
      <x:c r="D12" s="120" t="str">
        <x:v>Observado</x:v>
      </x:c>
      <x:c r="E12" s="120" t="str">
        <x:v>Alta</x:v>
      </x:c>
      <x:c r="F12" s="120" t="str">
        <x:v>Bajo</x:v>
      </x:c>
      <x:c r="G12" s="120" t="str">
        <x:v>Diego Ricardo Carhuamaca Vasquez</x:v>
      </x:c>
      <x:c r="H12" s="120" t="str">
        <x:v>Panel completo de asistencia con filtros, tabla y toolbar. Bolt adicional detectado. Corrección QA: Está completado, pero no tiene evidencia de pruebas ejecutadas.</x:v>
      </x:c>
      <x:c r="I12" s="117"/>
      <x:c r="J12" s="117"/>
      <x:c r="K12" s="117"/>
    </x:row>
    <x:row r="13">
      <x:c r="A13" s="120" t="str">
        <x:v>INT-009 Reportes conductuales y tutoría</x:v>
      </x:c>
      <x:c r="B13" s="120" t="str">
        <x:v>INT-009-BOLT-001</x:v>
      </x:c>
      <x:c r="C13" s="120" t="str">
        <x:v>Crear modelo de reporte conductual</x:v>
      </x:c>
      <x:c r="D13" s="120" t="str">
        <x:v>Observado</x:v>
      </x:c>
      <x:c r="E13" s="120" t="str">
        <x:v>Alta</x:v>
      </x:c>
      <x:c r="F13" s="120" t="str">
        <x:v>Bajo</x:v>
      </x:c>
      <x:c r="G13" s="120" t="str">
        <x:v>Ernesto Marcial Constantino Chuchon Sotelo</x:v>
      </x:c>
      <x:c r="H13" s="120" t="str">
        <x:v>Modelo con fillable: estudiante_id, registrado_por, fecha, tipo_conducta, descripcion, nivel_gravedad, accion_inmediata Corrección QA: Está completado, pero no tiene evidencia de pruebas ejecutadas.</x:v>
      </x:c>
      <x:c r="I13" s="117"/>
      <x:c r="J13" s="117"/>
      <x:c r="K13" s="117"/>
    </x:row>
    <x:row r="14">
      <x:c r="A14" s="120" t="str">
        <x:v>INT-009 Reportes conductuales y tutoría</x:v>
      </x:c>
      <x:c r="B14" s="120" t="str">
        <x:v>INT-009-BOLT-002</x:v>
      </x:c>
      <x:c r="C14" s="120" t="str">
        <x:v>Registrar observación conductual</x:v>
      </x:c>
      <x:c r="D14" s="120" t="str">
        <x:v>Pendiente</x:v>
      </x:c>
      <x:c r="E14" s="120" t="str">
        <x:v>Alta</x:v>
      </x:c>
      <x:c r="F14" s="120" t="str">
        <x:v>Alto</x:v>
      </x:c>
      <x:c r="G14" s="120" t="str">
        <x:v>Diego Ricardo Carhuamaca Vasquez</x:v>
      </x:c>
      <x:c r="H14" s="120" t="str">
        <x:v>Modelo existe pero no hay controller ni endpoints API para CRUD de reportes conductuales</x:v>
      </x:c>
      <x:c r="I14" s="117"/>
      <x:c r="J14" s="117"/>
      <x:c r="K14" s="117"/>
    </x:row>
    <x:row r="15">
      <x:c r="A15" s="120" t="str">
        <x:v>INT-009 Reportes conductuales y tutoría</x:v>
      </x:c>
      <x:c r="B15" s="120" t="str">
        <x:v>INT-009-BOLT-007</x:v>
      </x:c>
      <x:c r="C15" s="120" t="str">
        <x:v>Probar registro de reporte por docente</x:v>
      </x:c>
      <x:c r="D15" s="120" t="str">
        <x:v>Pendiente</x:v>
      </x:c>
      <x:c r="E15" s="120" t="str">
        <x:v>Alta</x:v>
      </x:c>
      <x:c r="F15" s="120" t="str">
        <x:v>Alto</x:v>
      </x:c>
      <x:c r="G15" s="120" t="str">
        <x:v>Equipo SIDERAE</x:v>
      </x:c>
      <x:c r="H15" s="120" t="str">
        <x:v>No existen tests para CRUD de reportes conductuales; requiere primero implementar controller</x:v>
      </x:c>
      <x:c r="I15" s="117"/>
      <x:c r="J15" s="117"/>
      <x:c r="K15" s="117"/>
    </x:row>
    <x:row r="16">
      <x:c r="A16" s="120" t="str">
        <x:v>INT-009 Reportes conductuales y tutoría</x:v>
      </x:c>
      <x:c r="B16" s="120" t="str">
        <x:v>INT-009-BOLT-008</x:v>
      </x:c>
      <x:c r="C16" s="120" t="str">
        <x:v>Probar consulta de reportes por tutor o psicólogo</x:v>
      </x:c>
      <x:c r="D16" s="120" t="str">
        <x:v>Pendiente</x:v>
      </x:c>
      <x:c r="E16" s="120" t="str">
        <x:v>Alta</x:v>
      </x:c>
      <x:c r="F16" s="120" t="str">
        <x:v>Alto</x:v>
      </x:c>
      <x:c r="G16" s="120" t="str">
        <x:v>Equipo SIDERAE</x:v>
      </x:c>
      <x:c r="H16" s="120" t="str">
        <x:v>Depende de la implementación del controller de reportes conductuales</x:v>
      </x:c>
      <x:c r="I16" s="117"/>
      <x:c r="J16" s="117"/>
      <x:c r="K16" s="117"/>
    </x:row>
    <x:row r="17">
      <x:c r="A17" s="120" t="str">
        <x:v>INT-012 Microservicio de Machine Learning</x:v>
      </x:c>
      <x:c r="B17" s="120" t="str">
        <x:v>INT-012-BOLT-004</x:v>
      </x:c>
      <x:c r="C17" s="120" t="str">
        <x:v>Normalizar variables de entrada</x:v>
      </x:c>
      <x:c r="D17" s="120" t="str">
        <x:v>Observado</x:v>
      </x:c>
      <x:c r="E17" s="120" t="str">
        <x:v>Alta</x:v>
      </x:c>
      <x:c r="F17" s="120" t="str">
        <x:v>Bajo</x:v>
      </x:c>
      <x:c r="G17" s="120" t="str">
        <x:v>Ernesto Marcial Constantino Chuchon Sotelo</x:v>
      </x:c>
      <x:c r="H17" s="120" t="str">
        <x:v>Normalización: notas/20, asistencia/100, reportes/5, distancia/20, socioeconomico a factor Corrección QA: Está completado, pero no tiene evidencia de pruebas ejecutadas.</x:v>
      </x:c>
      <x:c r="I17" s="117"/>
      <x:c r="J17" s="117"/>
      <x:c r="K17" s="117"/>
    </x:row>
    <x:row r="18">
      <x:c r="A18" s="120" t="str">
        <x:v>INT-012 Microservicio de Machine Learning</x:v>
      </x:c>
      <x:c r="B18" s="120" t="str">
        <x:v>INT-012-BOLT-008</x:v>
      </x:c>
      <x:c r="C18" s="120" t="str">
        <x:v>Preparar estructura para modelos Random Forest, SVM o XGBoost</x:v>
      </x:c>
      <x:c r="D18" s="120" t="str">
        <x:v>Pendiente</x:v>
      </x:c>
      <x:c r="E18" s="120" t="str">
        <x:v>Alta</x:v>
      </x:c>
      <x:c r="F18" s="120" t="str">
        <x:v>Alto</x:v>
      </x:c>
      <x:c r="G18" s="120" t="str">
        <x:v>Ernesto Marcial Constantino Chuchon Sotelo</x:v>
      </x:c>
      <x:c r="H18" s="120" t="str">
        <x:v>Actualmente solo cálculo determinístico; falta integrar scikit-learn o XGBoost para modelos reales</x:v>
      </x:c>
      <x:c r="I18" s="117"/>
      <x:c r="J18" s="117"/>
      <x:c r="K18" s="117"/>
    </x:row>
    <x:row r="19">
      <x:c r="A19" s="120" t="str">
        <x:v>INT-015 Dashboard y reportes</x:v>
      </x:c>
      <x:c r="B19" s="120" t="str">
        <x:v>INT-015-BOLT-013</x:v>
      </x:c>
      <x:c r="C19" s="120" t="str">
        <x:v>Implementar panel de dashboard en frontend</x:v>
      </x:c>
      <x:c r="D19" s="120" t="str">
        <x:v>Observado</x:v>
      </x:c>
      <x:c r="E19" s="120" t="str">
        <x:v>Alta</x:v>
      </x:c>
      <x:c r="F19" s="120" t="str">
        <x:v>Bajo</x:v>
      </x:c>
      <x:c r="G19" s="120" t="str">
        <x:v>Diego Ricardo Carhuamaca Vasquez</x:v>
      </x:c>
      <x:c r="H19" s="120" t="str">
        <x:v>Panel de dashboard completo con indicadores, gráficos y filtros. Bolt adicional detectado. Corrección QA: Está completado, pero no tiene evidencia de pruebas ejecutadas.</x:v>
      </x:c>
      <x:c r="I19" s="117"/>
      <x:c r="J19" s="117"/>
      <x:c r="K19" s="117"/>
    </x:row>
    <x:row r="20">
      <x:c r="A20" s="120" t="str">
        <x:v>INT-017 Seguridad y calidad</x:v>
      </x:c>
      <x:c r="B20" s="120" t="str">
        <x:v>INT-017-BOLT-007</x:v>
      </x:c>
      <x:c r="C20" s="120" t="str">
        <x:v>Revisar que no existan credenciales hardcodeadas</x:v>
      </x:c>
      <x:c r="D20" s="120" t="str">
        <x:v>Observado</x:v>
      </x:c>
      <x:c r="E20" s="120" t="str">
        <x:v>Alta</x:v>
      </x:c>
      <x:c r="F20" s="120" t="str">
        <x:v>Alto</x:v>
      </x:c>
      <x:c r="G20" s="120" t="str">
        <x:v>Ernesto Marcial Constantino Chuchon Sotelo</x:v>
      </x:c>
      <x:c r="H20" s="120" t="str">
        <x:v>docker-compose.yml contiene password 'secret' para desarrollo; no es producción pero debe documentarse</x:v>
      </x:c>
      <x:c r="I20" s="117"/>
      <x:c r="J20" s="117"/>
      <x:c r="K20" s="117"/>
    </x:row>
    <x:row r="21">
      <x:c r="A21" s="120" t="str">
        <x:v>INT-017 Seguridad y calidad</x:v>
      </x:c>
      <x:c r="B21" s="120" t="str">
        <x:v>INT-017-BOLT-008</x:v>
      </x:c>
      <x:c r="C21" s="120" t="str">
        <x:v>Ejecutar pruebas de seguridad básicas</x:v>
      </x:c>
      <x:c r="D21" s="120" t="str">
        <x:v>Pendiente</x:v>
      </x:c>
      <x:c r="E21" s="120" t="str">
        <x:v>Alta</x:v>
      </x:c>
      <x:c r="F21" s="120" t="str">
        <x:v>Alto</x:v>
      </x:c>
      <x:c r="G21" s="120" t="str">
        <x:v>Equipo SIDERAE</x:v>
      </x:c>
      <x:c r="H21" s="120" t="str">
        <x:v>No se encontraron pruebas de seguridad específicas (penetration test, OWASP)</x:v>
      </x:c>
      <x:c r="I21" s="117"/>
      <x:c r="J21" s="117"/>
      <x:c r="K21" s="117"/>
    </x:row>
    <x:row r="22">
      <x:c r="A22" s="120" t="str">
        <x:v>INT-017 Seguridad y calidad</x:v>
      </x:c>
      <x:c r="B22" s="120" t="str">
        <x:v>INT-017-BOLT-010</x:v>
      </x:c>
      <x:c r="C22" s="120" t="str">
        <x:v>Corregir vulnerabilidades detectadas</x:v>
      </x:c>
      <x:c r="D22" s="120" t="str">
        <x:v>Pendiente</x:v>
      </x:c>
      <x:c r="E22" s="120" t="str">
        <x:v>Alta</x:v>
      </x:c>
      <x:c r="F22" s="120" t="str">
        <x:v>Alto</x:v>
      </x:c>
      <x:c r="G22" s="120" t="str">
        <x:v>Equipo SIDERAE</x:v>
      </x:c>
      <x:c r="H22" s="120" t="str">
        <x:v>Depende de ejecución de pruebas de seguridad; no se encontraron correcciones explícitas</x:v>
      </x:c>
      <x:c r="I22" s="117"/>
      <x:c r="J22" s="117"/>
      <x:c r="K22" s="117"/>
    </x:row>
    <x:row r="23">
      <x:c r="A23" s="120" t="str">
        <x:v>INT-018 Pruebas automáticas</x:v>
      </x:c>
      <x:c r="B23" s="120" t="str">
        <x:v>INT-018-BOLT-010</x:v>
      </x:c>
      <x:c r="C23" s="120" t="str">
        <x:v>Ejecutar Laravel Dusk para pruebas funcionales</x:v>
      </x:c>
      <x:c r="D23" s="120" t="str">
        <x:v>Pendiente</x:v>
      </x:c>
      <x:c r="E23" s="120" t="str">
        <x:v>Media</x:v>
      </x:c>
      <x:c r="F23" s="120" t="str">
        <x:v>Alto</x:v>
      </x:c>
      <x:c r="G23" s="120" t="str">
        <x:v>Equipo SIDERAE</x:v>
      </x:c>
      <x:c r="H23" s="120" t="str">
        <x:v>Laravel Dusk no está instalado en el proyecto; falta agregar dependencia y configurar</x:v>
      </x:c>
      <x:c r="I23" s="117"/>
      <x:c r="J23" s="117"/>
      <x:c r="K23" s="117"/>
    </x:row>
    <x:row r="24">
      <x:c r="A24" s="120" t="str">
        <x:v>INT-019 Documentación académica y propiedad intelectual</x:v>
      </x:c>
      <x:c r="B24" s="120" t="str">
        <x:v>INT-019-BOLT-003</x:v>
      </x:c>
      <x:c r="C24" s="120" t="str">
        <x:v>Elaborar declaración jurada de autoría</x:v>
      </x:c>
      <x:c r="D24" s="120" t="str">
        <x:v>Pendiente</x:v>
      </x:c>
      <x:c r="E24" s="120" t="str">
        <x:v>Alta</x:v>
      </x:c>
      <x:c r="F24" s="120" t="str">
        <x:v>Alto</x:v>
      </x:c>
      <x:c r="G24" s="120" t="str">
        <x:v>Equipo SIDERAE</x:v>
      </x:c>
      <x:c r="H24" s="120" t="str">
        <x:v>Documento legal pendiente de elaboración</x:v>
      </x:c>
      <x:c r="I24" s="117"/>
      <x:c r="J24" s="117"/>
      <x:c r="K24" s="117"/>
    </x:row>
    <x:row r="25">
      <x:c r="A25" s="120" t="str">
        <x:v>INT-019 Documentación académica y propiedad intelectual</x:v>
      </x:c>
      <x:c r="B25" s="120" t="str">
        <x:v>INT-019-BOLT-005</x:v>
      </x:c>
      <x:c r="C25" s="120" t="str">
        <x:v>Elaborar representación legal o titularidad</x:v>
      </x:c>
      <x:c r="D25" s="120" t="str">
        <x:v>Pendiente</x:v>
      </x:c>
      <x:c r="E25" s="120" t="str">
        <x:v>Alta</x:v>
      </x:c>
      <x:c r="F25" s="120" t="str">
        <x:v>Alto</x:v>
      </x:c>
      <x:c r="G25" s="120" t="str">
        <x:v>Equipo SIDERAE</x:v>
      </x:c>
      <x:c r="H25" s="120" t="str">
        <x:v>Documento legal pendiente de elaboración</x:v>
      </x:c>
      <x:c r="I25" s="117"/>
      <x:c r="J25" s="117"/>
      <x:c r="K25" s="117"/>
    </x:row>
    <x:row r="26">
      <x:c r="A26" s="120" t="str">
        <x:v>INT-019 Documentación académica y propiedad intelectual</x:v>
      </x:c>
      <x:c r="B26" s="120" t="str">
        <x:v>INT-019-BOLT-007</x:v>
      </x:c>
      <x:c r="C26" s="120" t="str">
        <x:v>Elaborar memoria descriptiva para INDECOPI</x:v>
      </x:c>
      <x:c r="D26" s="120" t="str">
        <x:v>Pendiente</x:v>
      </x:c>
      <x:c r="E26" s="120" t="str">
        <x:v>Alta</x:v>
      </x:c>
      <x:c r="F26" s="120" t="str">
        <x:v>Alto</x:v>
      </x:c>
      <x:c r="G26" s="120" t="str">
        <x:v>Equipo SIDERAE</x:v>
      </x:c>
      <x:c r="H26" s="120" t="str">
        <x:v>Memoria descriptiva para registro de software en INDECOPI pendiente</x:v>
      </x:c>
      <x:c r="I26" s="117"/>
      <x:c r="J26" s="117"/>
      <x:c r="K26" s="117"/>
    </x:row>
    <x:row r="27">
      <x:c r="A27" s="120" t="str">
        <x:v>INT-020 Validación con el Colegio Blenkir</x:v>
      </x:c>
      <x:c r="B27" s="120" t="str">
        <x:v>INT-020-BOLT-012</x:v>
      </x:c>
      <x:c r="C27" s="120" t="str">
        <x:v>Preparar presentación para director o docente</x:v>
      </x:c>
      <x:c r="D27" s="120" t="str">
        <x:v>Pendiente</x:v>
      </x:c>
      <x:c r="E27" s="120" t="str">
        <x:v>Alta</x:v>
      </x:c>
      <x:c r="F27" s="120" t="str">
        <x:v>Medio</x:v>
      </x:c>
      <x:c r="G27" s="120" t="str">
        <x:v>Equipo SIDERAE</x:v>
      </x:c>
      <x:c r="H27" s="120" t="str">
        <x:v>Presentación formal para el colegio pendiente de elaboración</x:v>
      </x:c>
      <x:c r="I27" s="117"/>
      <x:c r="J27" s="117"/>
      <x:c r="K27" s="117"/>
    </x:row>
    <x:row r="28">
      <x:c r="A28" s="117"/>
      <x:c r="B28" s="117"/>
      <x:c r="C28" s="117"/>
      <x:c r="D28" s="117"/>
      <x:c r="E28" s="117"/>
      <x:c r="F28" s="117"/>
      <x:c r="G28" s="117"/>
      <x:c r="H28" s="117"/>
      <x:c r="I28" s="117"/>
      <x:c r="J28" s="117"/>
      <x:c r="K28" s="117"/>
    </x:row>
    <x:row r="29">
      <x:c r="A29" s="117"/>
      <x:c r="B29" s="117"/>
      <x:c r="C29" s="117"/>
      <x:c r="D29" s="117"/>
      <x:c r="E29" s="117"/>
      <x:c r="F29" s="117"/>
      <x:c r="G29" s="117"/>
      <x:c r="H29" s="117"/>
      <x:c r="I29" s="117"/>
      <x:c r="J29" s="117"/>
      <x:c r="K29" s="117"/>
    </x:row>
    <x:row r="30">
      <x:c r="A30" s="117"/>
      <x:c r="B30" s="117"/>
      <x:c r="C30" s="117"/>
      <x:c r="D30" s="117"/>
      <x:c r="E30" s="117"/>
      <x:c r="F30" s="117"/>
      <x:c r="G30" s="117"/>
      <x:c r="H30" s="117"/>
      <x:c r="I30" s="117"/>
      <x:c r="J30" s="117"/>
      <x:c r="K30" s="117"/>
    </x:row>
    <x:row r="31">
      <x:c r="A31" s="117"/>
      <x:c r="B31" s="117"/>
      <x:c r="C31" s="117"/>
      <x:c r="D31" s="117"/>
      <x:c r="E31" s="117"/>
      <x:c r="F31" s="117"/>
      <x:c r="G31" s="117"/>
      <x:c r="H31" s="117"/>
      <x:c r="I31" s="117"/>
      <x:c r="J31" s="117"/>
      <x:c r="K31" s="117"/>
    </x:row>
    <x:row r="32">
      <x:c r="A32" s="117"/>
      <x:c r="B32" s="117"/>
      <x:c r="C32" s="117"/>
      <x:c r="D32" s="117"/>
      <x:c r="E32" s="117"/>
      <x:c r="F32" s="117"/>
      <x:c r="G32" s="117"/>
      <x:c r="H32" s="117"/>
      <x:c r="I32" s="117"/>
      <x:c r="J32" s="117"/>
      <x:c r="K32" s="117"/>
    </x:row>
    <x:row r="33">
      <x:c r="A33" s="117"/>
      <x:c r="B33" s="117"/>
      <x:c r="C33" s="117"/>
      <x:c r="D33" s="117"/>
      <x:c r="E33" s="117"/>
      <x:c r="F33" s="117"/>
      <x:c r="G33" s="117"/>
      <x:c r="H33" s="117"/>
      <x:c r="I33" s="117"/>
      <x:c r="J33" s="117"/>
      <x:c r="K33" s="117"/>
    </x:row>
    <x:row r="34">
      <x:c r="A34" s="117"/>
      <x:c r="B34" s="117"/>
      <x:c r="C34" s="117"/>
      <x:c r="D34" s="117"/>
      <x:c r="E34" s="117"/>
      <x:c r="F34" s="117"/>
      <x:c r="G34" s="117"/>
      <x:c r="H34" s="117"/>
      <x:c r="I34" s="117"/>
      <x:c r="J34" s="117"/>
      <x:c r="K34" s="117"/>
    </x:row>
    <x:row r="35">
      <x:c r="A35" s="117"/>
      <x:c r="B35" s="117"/>
      <x:c r="C35" s="117"/>
      <x:c r="D35" s="117"/>
      <x:c r="E35" s="117"/>
      <x:c r="F35" s="117"/>
      <x:c r="G35" s="117"/>
      <x:c r="H35" s="117"/>
      <x:c r="I35" s="117"/>
      <x:c r="J35" s="117"/>
      <x:c r="K35" s="117"/>
    </x:row>
    <x:row r="36">
      <x:c r="A36" s="117"/>
      <x:c r="B36" s="117"/>
      <x:c r="C36" s="117"/>
      <x:c r="D36" s="117"/>
      <x:c r="E36" s="117"/>
      <x:c r="F36" s="117"/>
      <x:c r="G36" s="117"/>
      <x:c r="H36" s="117"/>
      <x:c r="I36" s="117"/>
      <x:c r="J36" s="117"/>
      <x:c r="K36" s="117"/>
    </x:row>
    <x:row r="37">
      <x:c r="A37" s="117"/>
      <x:c r="B37" s="117"/>
      <x:c r="C37" s="117"/>
      <x:c r="D37" s="117"/>
      <x:c r="E37" s="117"/>
      <x:c r="F37" s="117"/>
      <x:c r="G37" s="117"/>
      <x:c r="H37" s="117"/>
      <x:c r="I37" s="117"/>
      <x:c r="J37" s="117"/>
      <x:c r="K37" s="117"/>
    </x:row>
    <x:row r="38">
      <x:c r="A38" s="117"/>
      <x:c r="B38" s="117"/>
      <x:c r="C38" s="117"/>
      <x:c r="D38" s="117"/>
      <x:c r="E38" s="117"/>
      <x:c r="F38" s="117"/>
      <x:c r="G38" s="117"/>
      <x:c r="H38" s="117"/>
      <x:c r="I38" s="117"/>
      <x:c r="J38" s="117"/>
      <x:c r="K38" s="117"/>
    </x:row>
    <x:row r="39">
      <x:c r="A39" s="117"/>
      <x:c r="B39" s="117"/>
      <x:c r="C39" s="117"/>
      <x:c r="D39" s="117"/>
      <x:c r="E39" s="117"/>
      <x:c r="F39" s="117"/>
      <x:c r="G39" s="117"/>
      <x:c r="H39" s="117"/>
      <x:c r="I39" s="117"/>
      <x:c r="J39" s="117"/>
      <x:c r="K39" s="117"/>
    </x:row>
    <x:row r="40">
      <x:c r="A40" s="117"/>
      <x:c r="B40" s="117"/>
      <x:c r="C40" s="117"/>
      <x:c r="D40" s="117"/>
      <x:c r="E40" s="117"/>
      <x:c r="F40" s="117"/>
      <x:c r="G40" s="117"/>
      <x:c r="H40" s="117"/>
      <x:c r="I40" s="117"/>
      <x:c r="J40" s="117"/>
      <x:c r="K40" s="117"/>
    </x:row>
    <x:row r="41">
      <x:c r="A41" s="117"/>
      <x:c r="B41" s="117"/>
      <x:c r="C41" s="117"/>
      <x:c r="D41" s="117"/>
      <x:c r="E41" s="117"/>
      <x:c r="F41" s="117"/>
      <x:c r="G41" s="117"/>
      <x:c r="H41" s="117"/>
      <x:c r="I41" s="117"/>
      <x:c r="J41" s="117"/>
      <x:c r="K41" s="117"/>
    </x:row>
    <x:row r="42">
      <x:c r="A42" s="117"/>
      <x:c r="B42" s="117"/>
      <x:c r="C42" s="117"/>
      <x:c r="D42" s="117"/>
      <x:c r="E42" s="117"/>
      <x:c r="F42" s="117"/>
      <x:c r="G42" s="117"/>
      <x:c r="H42" s="117"/>
      <x:c r="I42" s="117"/>
      <x:c r="J42" s="117"/>
      <x:c r="K42" s="117"/>
    </x:row>
    <x:row r="43">
      <x:c r="A43" s="117"/>
      <x:c r="B43" s="117"/>
      <x:c r="C43" s="117"/>
      <x:c r="D43" s="117"/>
      <x:c r="E43" s="117"/>
      <x:c r="F43" s="117"/>
      <x:c r="G43" s="117"/>
      <x:c r="H43" s="117"/>
      <x:c r="I43" s="117"/>
      <x:c r="J43" s="117"/>
      <x:c r="K43" s="117"/>
    </x:row>
    <x:row r="44">
      <x:c r="A44" s="117"/>
      <x:c r="B44" s="117"/>
      <x:c r="C44" s="117"/>
      <x:c r="D44" s="117"/>
      <x:c r="E44" s="117"/>
      <x:c r="F44" s="117"/>
      <x:c r="G44" s="117"/>
      <x:c r="H44" s="117"/>
      <x:c r="I44" s="117"/>
      <x:c r="J44" s="117"/>
      <x:c r="K44" s="117"/>
    </x:row>
    <x:row r="45">
      <x:c r="A45" s="117"/>
      <x:c r="B45" s="117"/>
      <x:c r="C45" s="117"/>
      <x:c r="D45" s="117"/>
      <x:c r="E45" s="117"/>
      <x:c r="F45" s="117"/>
      <x:c r="G45" s="117"/>
      <x:c r="H45" s="117"/>
      <x:c r="I45" s="117"/>
      <x:c r="J45" s="117"/>
      <x:c r="K45" s="117"/>
    </x:row>
    <x:row r="46">
      <x:c r="A46" s="117"/>
      <x:c r="B46" s="117"/>
      <x:c r="C46" s="117"/>
      <x:c r="D46" s="117"/>
      <x:c r="E46" s="117"/>
      <x:c r="F46" s="117"/>
      <x:c r="G46" s="117"/>
      <x:c r="H46" s="117"/>
      <x:c r="I46" s="117"/>
      <x:c r="J46" s="117"/>
      <x:c r="K46" s="117"/>
    </x:row>
    <x:row r="47">
      <x:c r="A47" s="117"/>
      <x:c r="B47" s="117"/>
      <x:c r="C47" s="117"/>
      <x:c r="D47" s="117"/>
      <x:c r="E47" s="117"/>
      <x:c r="F47" s="117"/>
      <x:c r="G47" s="117"/>
      <x:c r="H47" s="117"/>
      <x:c r="I47" s="117"/>
      <x:c r="J47" s="117"/>
      <x:c r="K47" s="117"/>
    </x:row>
    <x:row r="48">
      <x:c r="A48" s="117"/>
      <x:c r="B48" s="117"/>
      <x:c r="C48" s="117"/>
      <x:c r="D48" s="117"/>
      <x:c r="E48" s="117"/>
      <x:c r="F48" s="117"/>
      <x:c r="G48" s="117"/>
      <x:c r="H48" s="117"/>
      <x:c r="I48" s="117"/>
      <x:c r="J48" s="117"/>
      <x:c r="K48" s="117"/>
    </x:row>
    <x:row r="49">
      <x:c r="A49" s="117"/>
      <x:c r="B49" s="117"/>
      <x:c r="C49" s="117"/>
      <x:c r="D49" s="117"/>
      <x:c r="E49" s="117"/>
      <x:c r="F49" s="117"/>
      <x:c r="G49" s="117"/>
      <x:c r="H49" s="117"/>
      <x:c r="I49" s="117"/>
      <x:c r="J49" s="117"/>
      <x:c r="K49" s="117"/>
    </x:row>
    <x:row r="50">
      <x:c r="A50" s="117"/>
      <x:c r="B50" s="117"/>
      <x:c r="C50" s="117"/>
      <x:c r="D50" s="117"/>
      <x:c r="E50" s="117"/>
      <x:c r="F50" s="117"/>
      <x:c r="G50" s="117"/>
      <x:c r="H50" s="117"/>
      <x:c r="I50" s="117"/>
      <x:c r="J50" s="117"/>
      <x:c r="K50" s="117"/>
    </x:row>
    <x:row r="51">
      <x:c r="A51" s="117"/>
      <x:c r="B51" s="117"/>
      <x:c r="C51" s="117"/>
      <x:c r="D51" s="117"/>
      <x:c r="E51" s="117"/>
      <x:c r="F51" s="117"/>
      <x:c r="G51" s="117"/>
      <x:c r="H51" s="117"/>
      <x:c r="I51" s="117"/>
      <x:c r="J51" s="117"/>
      <x:c r="K51" s="117"/>
    </x:row>
    <x:row r="52">
      <x:c r="A52" s="117"/>
      <x:c r="B52" s="117"/>
      <x:c r="C52" s="117"/>
      <x:c r="D52" s="117"/>
      <x:c r="E52" s="117"/>
      <x:c r="F52" s="117"/>
      <x:c r="G52" s="117"/>
      <x:c r="H52" s="117"/>
      <x:c r="I52" s="117"/>
      <x:c r="J52" s="117"/>
      <x:c r="K52" s="117"/>
    </x:row>
    <x:row r="53">
      <x:c r="A53" s="117"/>
      <x:c r="B53" s="117"/>
      <x:c r="C53" s="117"/>
      <x:c r="D53" s="117"/>
      <x:c r="E53" s="117"/>
      <x:c r="F53" s="117"/>
      <x:c r="G53" s="117"/>
      <x:c r="H53" s="117"/>
      <x:c r="I53" s="117"/>
      <x:c r="J53" s="117"/>
      <x:c r="K53" s="117"/>
    </x:row>
    <x:row r="54">
      <x:c r="A54" s="117"/>
      <x:c r="B54" s="117"/>
      <x:c r="C54" s="117"/>
      <x:c r="D54" s="117"/>
      <x:c r="E54" s="117"/>
      <x:c r="F54" s="117"/>
      <x:c r="G54" s="117"/>
      <x:c r="H54" s="117"/>
      <x:c r="I54" s="117"/>
      <x:c r="J54" s="117"/>
      <x:c r="K54" s="117"/>
    </x:row>
    <x:row r="55">
      <x:c r="A55" s="117"/>
      <x:c r="B55" s="117"/>
      <x:c r="C55" s="117"/>
      <x:c r="D55" s="117"/>
      <x:c r="E55" s="117"/>
      <x:c r="F55" s="117"/>
      <x:c r="G55" s="117"/>
      <x:c r="H55" s="117"/>
      <x:c r="I55" s="117"/>
      <x:c r="J55" s="117"/>
      <x:c r="K55" s="117"/>
    </x:row>
    <x:row r="56">
      <x:c r="A56" s="117"/>
      <x:c r="B56" s="117"/>
      <x:c r="C56" s="117"/>
      <x:c r="D56" s="117"/>
      <x:c r="E56" s="117"/>
      <x:c r="F56" s="117"/>
      <x:c r="G56" s="117"/>
      <x:c r="H56" s="117"/>
      <x:c r="I56" s="117"/>
      <x:c r="J56" s="117"/>
      <x:c r="K56" s="117"/>
    </x:row>
    <x:row r="57">
      <x:c r="A57" s="117"/>
      <x:c r="B57" s="117"/>
      <x:c r="C57" s="117"/>
      <x:c r="D57" s="117"/>
      <x:c r="E57" s="117"/>
      <x:c r="F57" s="117"/>
      <x:c r="G57" s="117"/>
      <x:c r="H57" s="117"/>
      <x:c r="I57" s="117"/>
      <x:c r="J57" s="117"/>
      <x:c r="K57" s="117"/>
    </x:row>
    <x:row r="58">
      <x:c r="A58" s="117"/>
      <x:c r="B58" s="117"/>
      <x:c r="C58" s="117"/>
      <x:c r="D58" s="117"/>
      <x:c r="E58" s="117"/>
      <x:c r="F58" s="117"/>
      <x:c r="G58" s="117"/>
      <x:c r="H58" s="117"/>
      <x:c r="I58" s="117"/>
      <x:c r="J58" s="117"/>
      <x:c r="K58" s="117"/>
    </x:row>
    <x:row r="59">
      <x:c r="A59" s="117"/>
      <x:c r="B59" s="117"/>
      <x:c r="C59" s="117"/>
      <x:c r="D59" s="117"/>
      <x:c r="E59" s="117"/>
      <x:c r="F59" s="117"/>
      <x:c r="G59" s="117"/>
      <x:c r="H59" s="117"/>
      <x:c r="I59" s="117"/>
      <x:c r="J59" s="117"/>
      <x:c r="K59" s="117"/>
    </x:row>
    <x:row r="60">
      <x:c r="A60" s="117"/>
      <x:c r="B60" s="117"/>
      <x:c r="C60" s="117"/>
      <x:c r="D60" s="117"/>
      <x:c r="E60" s="117"/>
      <x:c r="F60" s="117"/>
      <x:c r="G60" s="117"/>
      <x:c r="H60" s="117"/>
      <x:c r="I60" s="117"/>
      <x:c r="J60" s="117"/>
      <x:c r="K60" s="117"/>
    </x:row>
    <x:row r="61">
      <x:c r="A61" s="117"/>
      <x:c r="B61" s="117"/>
      <x:c r="C61" s="117"/>
      <x:c r="D61" s="117"/>
      <x:c r="E61" s="117"/>
      <x:c r="F61" s="117"/>
      <x:c r="G61" s="117"/>
      <x:c r="H61" s="117"/>
      <x:c r="I61" s="117"/>
      <x:c r="J61" s="117"/>
      <x:c r="K61" s="117"/>
    </x:row>
    <x:row r="62">
      <x:c r="A62" s="117"/>
      <x:c r="B62" s="117"/>
      <x:c r="C62" s="117"/>
      <x:c r="D62" s="117"/>
      <x:c r="E62" s="117"/>
      <x:c r="F62" s="117"/>
      <x:c r="G62" s="117"/>
      <x:c r="H62" s="117"/>
      <x:c r="I62" s="117"/>
      <x:c r="J62" s="117"/>
      <x:c r="K62" s="117"/>
    </x:row>
    <x:row r="63">
      <x:c r="A63" s="117"/>
      <x:c r="B63" s="117"/>
      <x:c r="C63" s="117"/>
      <x:c r="D63" s="117"/>
      <x:c r="E63" s="117"/>
      <x:c r="F63" s="117"/>
      <x:c r="G63" s="117"/>
      <x:c r="H63" s="117"/>
      <x:c r="I63" s="117"/>
      <x:c r="J63" s="117"/>
      <x:c r="K63" s="117"/>
    </x:row>
    <x:row r="64">
      <x:c r="A64" s="117"/>
      <x:c r="B64" s="117"/>
      <x:c r="C64" s="117"/>
      <x:c r="D64" s="117"/>
      <x:c r="E64" s="117"/>
      <x:c r="F64" s="117"/>
      <x:c r="G64" s="117"/>
      <x:c r="H64" s="117"/>
      <x:c r="I64" s="117"/>
      <x:c r="J64" s="117"/>
      <x:c r="K64" s="117"/>
    </x:row>
    <x:row r="65">
      <x:c r="A65" s="117"/>
      <x:c r="B65" s="117"/>
      <x:c r="C65" s="117"/>
      <x:c r="D65" s="117"/>
      <x:c r="E65" s="117"/>
      <x:c r="F65" s="117"/>
      <x:c r="G65" s="117"/>
      <x:c r="H65" s="117"/>
      <x:c r="I65" s="117"/>
      <x:c r="J65" s="117"/>
      <x:c r="K65" s="117"/>
    </x:row>
    <x:row r="66">
      <x:c r="A66" s="117"/>
      <x:c r="B66" s="117"/>
      <x:c r="C66" s="117"/>
      <x:c r="D66" s="117"/>
      <x:c r="E66" s="117"/>
      <x:c r="F66" s="117"/>
      <x:c r="G66" s="117"/>
      <x:c r="H66" s="117"/>
      <x:c r="I66" s="117"/>
      <x:c r="J66" s="117"/>
      <x:c r="K66" s="117"/>
    </x:row>
    <x:row r="67">
      <x:c r="A67" s="117"/>
      <x:c r="B67" s="117"/>
      <x:c r="C67" s="117"/>
      <x:c r="D67" s="117"/>
      <x:c r="E67" s="117"/>
      <x:c r="F67" s="117"/>
      <x:c r="G67" s="117"/>
      <x:c r="H67" s="117"/>
      <x:c r="I67" s="117"/>
      <x:c r="J67" s="117"/>
      <x:c r="K67" s="117"/>
    </x:row>
    <x:row r="68">
      <x:c r="A68" s="117"/>
      <x:c r="B68" s="117"/>
      <x:c r="C68" s="117"/>
      <x:c r="D68" s="117"/>
      <x:c r="E68" s="117"/>
      <x:c r="F68" s="117"/>
      <x:c r="G68" s="117"/>
      <x:c r="H68" s="117"/>
      <x:c r="I68" s="117"/>
      <x:c r="J68" s="117"/>
      <x:c r="K68" s="117"/>
    </x:row>
    <x:row r="69">
      <x:c r="A69" s="117"/>
      <x:c r="B69" s="117"/>
      <x:c r="C69" s="117"/>
      <x:c r="D69" s="117"/>
      <x:c r="E69" s="117"/>
      <x:c r="F69" s="117"/>
      <x:c r="G69" s="117"/>
      <x:c r="H69" s="117"/>
      <x:c r="I69" s="117"/>
      <x:c r="J69" s="117"/>
      <x:c r="K69" s="117"/>
    </x:row>
    <x:row r="70">
      <x:c r="A70" s="117"/>
      <x:c r="B70" s="117"/>
      <x:c r="C70" s="117"/>
      <x:c r="D70" s="117"/>
      <x:c r="E70" s="117"/>
      <x:c r="F70" s="117"/>
      <x:c r="G70" s="117"/>
      <x:c r="H70" s="117"/>
      <x:c r="I70" s="117"/>
      <x:c r="J70" s="117"/>
      <x:c r="K70" s="117"/>
    </x:row>
    <x:row r="71">
      <x:c r="A71" s="117"/>
      <x:c r="B71" s="117"/>
      <x:c r="C71" s="117"/>
      <x:c r="D71" s="117"/>
      <x:c r="E71" s="117"/>
      <x:c r="F71" s="117"/>
      <x:c r="G71" s="117"/>
      <x:c r="H71" s="117"/>
      <x:c r="I71" s="117"/>
      <x:c r="J71" s="117"/>
      <x:c r="K71" s="117"/>
    </x:row>
    <x:row r="72">
      <x:c r="A72" s="117"/>
      <x:c r="B72" s="117"/>
      <x:c r="C72" s="117"/>
      <x:c r="D72" s="117"/>
      <x:c r="E72" s="117"/>
      <x:c r="F72" s="117"/>
      <x:c r="G72" s="117"/>
      <x:c r="H72" s="117"/>
      <x:c r="I72" s="117"/>
      <x:c r="J72" s="117"/>
      <x:c r="K72" s="117"/>
    </x:row>
    <x:row r="73">
      <x:c r="A73" s="117"/>
      <x:c r="B73" s="117"/>
      <x:c r="C73" s="117"/>
      <x:c r="D73" s="117"/>
      <x:c r="E73" s="117"/>
      <x:c r="F73" s="117"/>
      <x:c r="G73" s="117"/>
      <x:c r="H73" s="117"/>
      <x:c r="I73" s="117"/>
      <x:c r="J73" s="117"/>
      <x:c r="K73" s="117"/>
    </x:row>
    <x:row r="74">
      <x:c r="A74" s="117"/>
      <x:c r="B74" s="117"/>
      <x:c r="C74" s="117"/>
      <x:c r="D74" s="117"/>
      <x:c r="E74" s="117"/>
      <x:c r="F74" s="117"/>
      <x:c r="G74" s="117"/>
      <x:c r="H74" s="117"/>
      <x:c r="I74" s="117"/>
      <x:c r="J74" s="117"/>
      <x:c r="K74" s="117"/>
    </x:row>
    <x:row r="75">
      <x:c r="A75" s="117"/>
      <x:c r="B75" s="117"/>
      <x:c r="C75" s="117"/>
      <x:c r="D75" s="117"/>
      <x:c r="E75" s="117"/>
      <x:c r="F75" s="117"/>
      <x:c r="G75" s="117"/>
      <x:c r="H75" s="117"/>
      <x:c r="I75" s="117"/>
      <x:c r="J75" s="117"/>
      <x:c r="K75" s="117"/>
    </x:row>
    <x:row r="76">
      <x:c r="A76" s="117"/>
      <x:c r="B76" s="117"/>
      <x:c r="C76" s="117"/>
      <x:c r="D76" s="117"/>
      <x:c r="E76" s="117"/>
      <x:c r="F76" s="117"/>
      <x:c r="G76" s="117"/>
      <x:c r="H76" s="117"/>
      <x:c r="I76" s="117"/>
      <x:c r="J76" s="117"/>
      <x:c r="K76" s="117"/>
    </x:row>
    <x:row r="77">
      <x:c r="A77" s="117"/>
      <x:c r="B77" s="117"/>
      <x:c r="C77" s="117"/>
      <x:c r="D77" s="117"/>
      <x:c r="E77" s="117"/>
      <x:c r="F77" s="117"/>
      <x:c r="G77" s="117"/>
      <x:c r="H77" s="117"/>
      <x:c r="I77" s="117"/>
      <x:c r="J77" s="117"/>
      <x:c r="K77" s="117"/>
    </x:row>
    <x:row r="78">
      <x:c r="A78" s="117"/>
      <x:c r="B78" s="117"/>
      <x:c r="C78" s="117"/>
      <x:c r="D78" s="117"/>
      <x:c r="E78" s="117"/>
      <x:c r="F78" s="117"/>
      <x:c r="G78" s="117"/>
      <x:c r="H78" s="117"/>
      <x:c r="I78" s="117"/>
      <x:c r="J78" s="117"/>
      <x:c r="K78" s="117"/>
    </x:row>
    <x:row r="79">
      <x:c r="A79" s="117"/>
      <x:c r="B79" s="117"/>
      <x:c r="C79" s="117"/>
      <x:c r="D79" s="117"/>
      <x:c r="E79" s="117"/>
      <x:c r="F79" s="117"/>
      <x:c r="G79" s="117"/>
      <x:c r="H79" s="117"/>
      <x:c r="I79" s="117"/>
      <x:c r="J79" s="117"/>
      <x:c r="K79" s="117"/>
    </x:row>
    <x:row r="80">
      <x:c r="A80" s="117"/>
      <x:c r="B80" s="117"/>
      <x:c r="C80" s="117"/>
      <x:c r="D80" s="117"/>
      <x:c r="E80" s="117"/>
      <x:c r="F80" s="117"/>
      <x:c r="G80" s="117"/>
      <x:c r="H80" s="117"/>
      <x:c r="I80" s="117"/>
      <x:c r="J80" s="117"/>
      <x:c r="K80" s="117"/>
    </x:row>
    <x:row r="81">
      <x:c r="A81" s="117"/>
      <x:c r="B81" s="117"/>
      <x:c r="C81" s="117"/>
      <x:c r="D81" s="117"/>
      <x:c r="E81" s="117"/>
      <x:c r="F81" s="117"/>
      <x:c r="G81" s="117"/>
      <x:c r="H81" s="117"/>
      <x:c r="I81" s="117"/>
      <x:c r="J81" s="117"/>
      <x:c r="K81" s="117"/>
    </x:row>
    <x:row r="82">
      <x:c r="A82" s="117"/>
      <x:c r="B82" s="117"/>
      <x:c r="C82" s="117"/>
      <x:c r="D82" s="117"/>
      <x:c r="E82" s="117"/>
      <x:c r="F82" s="117"/>
      <x:c r="G82" s="117"/>
      <x:c r="H82" s="117"/>
      <x:c r="I82" s="117"/>
      <x:c r="J82" s="117"/>
      <x:c r="K82" s="117"/>
    </x:row>
    <x:row r="83">
      <x:c r="A83" s="117"/>
      <x:c r="B83" s="117"/>
      <x:c r="C83" s="117"/>
      <x:c r="D83" s="117"/>
      <x:c r="E83" s="117"/>
      <x:c r="F83" s="117"/>
      <x:c r="G83" s="117"/>
      <x:c r="H83" s="117"/>
      <x:c r="I83" s="117"/>
      <x:c r="J83" s="117"/>
      <x:c r="K83" s="117"/>
    </x:row>
    <x:row r="84">
      <x:c r="A84" s="117"/>
      <x:c r="B84" s="117"/>
      <x:c r="C84" s="117"/>
      <x:c r="D84" s="117"/>
      <x:c r="E84" s="117"/>
      <x:c r="F84" s="117"/>
      <x:c r="G84" s="117"/>
      <x:c r="H84" s="117"/>
      <x:c r="I84" s="117"/>
      <x:c r="J84" s="117"/>
      <x:c r="K84" s="117"/>
    </x:row>
    <x:row r="85">
      <x:c r="A85" s="117"/>
      <x:c r="B85" s="117"/>
      <x:c r="C85" s="117"/>
      <x:c r="D85" s="117"/>
      <x:c r="E85" s="117"/>
      <x:c r="F85" s="117"/>
      <x:c r="G85" s="117"/>
      <x:c r="H85" s="117"/>
      <x:c r="I85" s="117"/>
      <x:c r="J85" s="117"/>
      <x:c r="K85" s="117"/>
    </x:row>
    <x:row r="86">
      <x:c r="A86" s="117"/>
      <x:c r="B86" s="117"/>
      <x:c r="C86" s="117"/>
      <x:c r="D86" s="117"/>
      <x:c r="E86" s="117"/>
      <x:c r="F86" s="117"/>
      <x:c r="G86" s="117"/>
      <x:c r="H86" s="117"/>
      <x:c r="I86" s="117"/>
      <x:c r="J86" s="117"/>
      <x:c r="K86" s="117"/>
    </x:row>
    <x:row r="87">
      <x:c r="A87" s="117"/>
      <x:c r="B87" s="117"/>
      <x:c r="C87" s="117"/>
      <x:c r="D87" s="117"/>
      <x:c r="E87" s="117"/>
      <x:c r="F87" s="117"/>
      <x:c r="G87" s="117"/>
      <x:c r="H87" s="117"/>
      <x:c r="I87" s="117"/>
      <x:c r="J87" s="117"/>
      <x:c r="K87" s="117"/>
    </x:row>
    <x:row r="88">
      <x:c r="A88" s="117"/>
      <x:c r="B88" s="117"/>
      <x:c r="C88" s="117"/>
      <x:c r="D88" s="117"/>
      <x:c r="E88" s="117"/>
      <x:c r="F88" s="117"/>
      <x:c r="G88" s="117"/>
      <x:c r="H88" s="117"/>
      <x:c r="I88" s="117"/>
      <x:c r="J88" s="117"/>
      <x:c r="K88" s="117"/>
    </x:row>
    <x:row r="89">
      <x:c r="A89" s="117"/>
      <x:c r="B89" s="117"/>
      <x:c r="C89" s="117"/>
      <x:c r="D89" s="117"/>
      <x:c r="E89" s="117"/>
      <x:c r="F89" s="117"/>
      <x:c r="G89" s="117"/>
      <x:c r="H89" s="117"/>
      <x:c r="I89" s="117"/>
      <x:c r="J89" s="117"/>
      <x:c r="K89" s="117"/>
    </x:row>
    <x:row r="90">
      <x:c r="A90" s="117"/>
      <x:c r="B90" s="117"/>
      <x:c r="C90" s="117"/>
      <x:c r="D90" s="117"/>
      <x:c r="E90" s="117"/>
      <x:c r="F90" s="117"/>
      <x:c r="G90" s="117"/>
      <x:c r="H90" s="117"/>
      <x:c r="I90" s="117"/>
      <x:c r="J90" s="117"/>
      <x:c r="K90" s="117"/>
    </x:row>
    <x:row r="91">
      <x:c r="A91" s="117"/>
      <x:c r="B91" s="117"/>
      <x:c r="C91" s="117"/>
      <x:c r="D91" s="117"/>
      <x:c r="E91" s="117"/>
      <x:c r="F91" s="117"/>
      <x:c r="G91" s="117"/>
      <x:c r="H91" s="117"/>
      <x:c r="I91" s="117"/>
      <x:c r="J91" s="117"/>
      <x:c r="K91" s="117"/>
    </x:row>
    <x:row r="92">
      <x:c r="A92" s="117"/>
      <x:c r="B92" s="117"/>
      <x:c r="C92" s="117"/>
      <x:c r="D92" s="117"/>
      <x:c r="E92" s="117"/>
      <x:c r="F92" s="117"/>
      <x:c r="G92" s="117"/>
      <x:c r="H92" s="117"/>
      <x:c r="I92" s="117"/>
      <x:c r="J92" s="117"/>
      <x:c r="K92" s="117"/>
    </x:row>
    <x:row r="93">
      <x:c r="A93" s="117"/>
      <x:c r="B93" s="117"/>
      <x:c r="C93" s="117"/>
      <x:c r="D93" s="117"/>
      <x:c r="E93" s="117"/>
      <x:c r="F93" s="117"/>
      <x:c r="G93" s="117"/>
      <x:c r="H93" s="117"/>
      <x:c r="I93" s="117"/>
      <x:c r="J93" s="117"/>
      <x:c r="K93" s="117"/>
    </x:row>
    <x:row r="94">
      <x:c r="A94" s="117"/>
      <x:c r="B94" s="117"/>
      <x:c r="C94" s="117"/>
      <x:c r="D94" s="117"/>
      <x:c r="E94" s="117"/>
      <x:c r="F94" s="117"/>
      <x:c r="G94" s="117"/>
      <x:c r="H94" s="117"/>
      <x:c r="I94" s="117"/>
      <x:c r="J94" s="117"/>
      <x:c r="K94" s="117"/>
    </x:row>
    <x:row r="95">
      <x:c r="A95" s="117"/>
      <x:c r="B95" s="117"/>
      <x:c r="C95" s="117"/>
      <x:c r="D95" s="117"/>
      <x:c r="E95" s="117"/>
      <x:c r="F95" s="117"/>
      <x:c r="G95" s="117"/>
      <x:c r="H95" s="117"/>
      <x:c r="I95" s="117"/>
      <x:c r="J95" s="117"/>
      <x:c r="K95" s="117"/>
    </x:row>
    <x:row r="96">
      <x:c r="A96" s="117"/>
      <x:c r="B96" s="117"/>
      <x:c r="C96" s="117"/>
      <x:c r="D96" s="117"/>
      <x:c r="E96" s="117"/>
      <x:c r="F96" s="117"/>
      <x:c r="G96" s="117"/>
      <x:c r="H96" s="117"/>
      <x:c r="I96" s="117"/>
      <x:c r="J96" s="117"/>
      <x:c r="K96" s="117"/>
    </x:row>
    <x:row r="97">
      <x:c r="A97" s="117"/>
      <x:c r="B97" s="117"/>
      <x:c r="C97" s="117"/>
      <x:c r="D97" s="117"/>
      <x:c r="E97" s="117"/>
      <x:c r="F97" s="117"/>
      <x:c r="G97" s="117"/>
      <x:c r="H97" s="117"/>
      <x:c r="I97" s="117"/>
      <x:c r="J97" s="117"/>
      <x:c r="K97" s="117"/>
    </x:row>
    <x:row r="98">
      <x:c r="A98" s="117"/>
      <x:c r="B98" s="117"/>
      <x:c r="C98" s="117"/>
      <x:c r="D98" s="117"/>
      <x:c r="E98" s="117"/>
      <x:c r="F98" s="117"/>
      <x:c r="G98" s="117"/>
      <x:c r="H98" s="117"/>
      <x:c r="I98" s="117"/>
      <x:c r="J98" s="117"/>
      <x:c r="K98" s="117"/>
    </x:row>
    <x:row r="99">
      <x:c r="A99" s="117"/>
      <x:c r="B99" s="117"/>
      <x:c r="C99" s="117"/>
      <x:c r="D99" s="117"/>
      <x:c r="E99" s="117"/>
      <x:c r="F99" s="117"/>
      <x:c r="G99" s="117"/>
      <x:c r="H99" s="117"/>
      <x:c r="I99" s="117"/>
      <x:c r="J99" s="117"/>
      <x:c r="K99" s="117"/>
    </x:row>
    <x:row r="100">
      <x:c r="A100" s="117"/>
      <x:c r="B100" s="117"/>
      <x:c r="C100" s="117"/>
      <x:c r="D100" s="117"/>
      <x:c r="E100" s="117"/>
      <x:c r="F100" s="117"/>
      <x:c r="G100" s="117"/>
      <x:c r="H100" s="117"/>
      <x:c r="I100" s="117"/>
      <x:c r="J100" s="117"/>
      <x:c r="K100" s="117"/>
    </x:row>
    <x:row r="101">
      <x:c r="A101" s="117"/>
      <x:c r="B101" s="117"/>
      <x:c r="C101" s="117"/>
      <x:c r="D101" s="117"/>
      <x:c r="E101" s="117"/>
      <x:c r="F101" s="117"/>
      <x:c r="G101" s="117"/>
      <x:c r="H101" s="117"/>
      <x:c r="I101" s="117"/>
      <x:c r="J101" s="117"/>
      <x:c r="K101" s="117"/>
    </x:row>
    <x:row r="102">
      <x:c r="A102" s="117"/>
      <x:c r="B102" s="117"/>
      <x:c r="C102" s="117"/>
      <x:c r="D102" s="117"/>
      <x:c r="E102" s="117"/>
      <x:c r="F102" s="117"/>
      <x:c r="G102" s="117"/>
      <x:c r="H102" s="117"/>
      <x:c r="I102" s="117"/>
      <x:c r="J102" s="117"/>
      <x:c r="K102" s="117"/>
    </x:row>
    <x:row r="103">
      <x:c r="A103" s="117"/>
      <x:c r="B103" s="117"/>
      <x:c r="C103" s="117"/>
      <x:c r="D103" s="117"/>
      <x:c r="E103" s="117"/>
      <x:c r="F103" s="117"/>
      <x:c r="G103" s="117"/>
      <x:c r="H103" s="117"/>
      <x:c r="I103" s="117"/>
      <x:c r="J103" s="117"/>
      <x:c r="K103" s="117"/>
    </x:row>
    <x:row r="104">
      <x:c r="A104" s="117"/>
      <x:c r="B104" s="117"/>
      <x:c r="C104" s="117"/>
      <x:c r="D104" s="117"/>
      <x:c r="E104" s="117"/>
      <x:c r="F104" s="117"/>
      <x:c r="G104" s="117"/>
      <x:c r="H104" s="117"/>
      <x:c r="I104" s="117"/>
      <x:c r="J104" s="117"/>
      <x:c r="K104" s="117"/>
    </x:row>
    <x:row r="105">
      <x:c r="A105" s="117"/>
      <x:c r="B105" s="117"/>
      <x:c r="C105" s="117"/>
      <x:c r="D105" s="117"/>
      <x:c r="E105" s="117"/>
      <x:c r="F105" s="117"/>
      <x:c r="G105" s="117"/>
      <x:c r="H105" s="117"/>
      <x:c r="I105" s="117"/>
      <x:c r="J105" s="117"/>
      <x:c r="K105" s="117"/>
    </x:row>
    <x:row r="106">
      <x:c r="A106" s="117"/>
      <x:c r="B106" s="117"/>
      <x:c r="C106" s="117"/>
      <x:c r="D106" s="117"/>
      <x:c r="E106" s="117"/>
      <x:c r="F106" s="117"/>
      <x:c r="G106" s="117"/>
      <x:c r="H106" s="117"/>
      <x:c r="I106" s="117"/>
      <x:c r="J106" s="117"/>
      <x:c r="K106" s="117"/>
    </x:row>
    <x:row r="107">
      <x:c r="A107" s="117"/>
      <x:c r="B107" s="117"/>
      <x:c r="C107" s="117"/>
      <x:c r="D107" s="117"/>
      <x:c r="E107" s="117"/>
      <x:c r="F107" s="117"/>
      <x:c r="G107" s="117"/>
      <x:c r="H107" s="117"/>
      <x:c r="I107" s="117"/>
      <x:c r="J107" s="117"/>
      <x:c r="K107" s="117"/>
    </x:row>
    <x:row r="108">
      <x:c r="A108" s="117"/>
      <x:c r="B108" s="117"/>
      <x:c r="C108" s="117"/>
      <x:c r="D108" s="117"/>
      <x:c r="E108" s="117"/>
      <x:c r="F108" s="117"/>
      <x:c r="G108" s="117"/>
      <x:c r="H108" s="117"/>
      <x:c r="I108" s="117"/>
      <x:c r="J108" s="117"/>
      <x:c r="K108" s="117"/>
    </x:row>
    <x:row r="109">
      <x:c r="A109" s="117"/>
      <x:c r="B109" s="117"/>
      <x:c r="C109" s="117"/>
      <x:c r="D109" s="117"/>
      <x:c r="E109" s="117"/>
      <x:c r="F109" s="117"/>
      <x:c r="G109" s="117"/>
      <x:c r="H109" s="117"/>
      <x:c r="I109" s="117"/>
      <x:c r="J109" s="117"/>
      <x:c r="K109" s="117"/>
    </x:row>
    <x:row r="110">
      <x:c r="A110" s="117"/>
      <x:c r="B110" s="117"/>
      <x:c r="C110" s="117"/>
      <x:c r="D110" s="117"/>
      <x:c r="E110" s="117"/>
      <x:c r="F110" s="117"/>
      <x:c r="G110" s="117"/>
      <x:c r="H110" s="117"/>
      <x:c r="I110" s="117"/>
      <x:c r="J110" s="117"/>
      <x:c r="K110" s="117"/>
    </x:row>
    <x:row r="111">
      <x:c r="A111" s="117"/>
      <x:c r="B111" s="117"/>
      <x:c r="C111" s="117"/>
      <x:c r="D111" s="117"/>
      <x:c r="E111" s="117"/>
      <x:c r="F111" s="117"/>
      <x:c r="G111" s="117"/>
      <x:c r="H111" s="117"/>
      <x:c r="I111" s="117"/>
      <x:c r="J111" s="117"/>
      <x:c r="K111" s="117"/>
    </x:row>
    <x:row r="112">
      <x:c r="A112" s="117"/>
      <x:c r="B112" s="117"/>
      <x:c r="C112" s="117"/>
      <x:c r="D112" s="117"/>
      <x:c r="E112" s="117"/>
      <x:c r="F112" s="117"/>
      <x:c r="G112" s="117"/>
      <x:c r="H112" s="117"/>
      <x:c r="I112" s="117"/>
      <x:c r="J112" s="117"/>
      <x:c r="K112" s="117"/>
    </x:row>
    <x:row r="113">
      <x:c r="A113" s="117"/>
      <x:c r="B113" s="117"/>
      <x:c r="C113" s="117"/>
      <x:c r="D113" s="117"/>
      <x:c r="E113" s="117"/>
      <x:c r="F113" s="117"/>
      <x:c r="G113" s="117"/>
      <x:c r="H113" s="117"/>
      <x:c r="I113" s="117"/>
      <x:c r="J113" s="117"/>
      <x:c r="K113" s="117"/>
    </x:row>
    <x:row r="114">
      <x:c r="A114" s="117"/>
      <x:c r="B114" s="117"/>
      <x:c r="C114" s="117"/>
      <x:c r="D114" s="117"/>
      <x:c r="E114" s="117"/>
      <x:c r="F114" s="117"/>
      <x:c r="G114" s="117"/>
      <x:c r="H114" s="117"/>
      <x:c r="I114" s="117"/>
      <x:c r="J114" s="117"/>
      <x:c r="K114" s="117"/>
    </x:row>
    <x:row r="115">
      <x:c r="A115" s="117"/>
      <x:c r="B115" s="117"/>
      <x:c r="C115" s="117"/>
      <x:c r="D115" s="117"/>
      <x:c r="E115" s="117"/>
      <x:c r="F115" s="117"/>
      <x:c r="G115" s="117"/>
      <x:c r="H115" s="117"/>
      <x:c r="I115" s="117"/>
      <x:c r="J115" s="117"/>
      <x:c r="K115" s="117"/>
    </x:row>
    <x:row r="116">
      <x:c r="A116" s="117"/>
      <x:c r="B116" s="117"/>
      <x:c r="C116" s="117"/>
      <x:c r="D116" s="117"/>
      <x:c r="E116" s="117"/>
      <x:c r="F116" s="117"/>
      <x:c r="G116" s="117"/>
      <x:c r="H116" s="117"/>
      <x:c r="I116" s="117"/>
      <x:c r="J116" s="117"/>
      <x:c r="K116" s="117"/>
    </x:row>
    <x:row r="117">
      <x:c r="A117" s="117"/>
      <x:c r="B117" s="117"/>
      <x:c r="C117" s="117"/>
      <x:c r="D117" s="117"/>
      <x:c r="E117" s="117"/>
      <x:c r="F117" s="117"/>
      <x:c r="G117" s="117"/>
      <x:c r="H117" s="117"/>
      <x:c r="I117" s="117"/>
      <x:c r="J117" s="117"/>
      <x:c r="K117" s="117"/>
    </x:row>
    <x:row r="118">
      <x:c r="A118" s="117"/>
      <x:c r="B118" s="117"/>
      <x:c r="C118" s="117"/>
      <x:c r="D118" s="117"/>
      <x:c r="E118" s="117"/>
      <x:c r="F118" s="117"/>
      <x:c r="G118" s="117"/>
      <x:c r="H118" s="117"/>
      <x:c r="I118" s="117"/>
      <x:c r="J118" s="117"/>
      <x:c r="K118" s="117"/>
    </x:row>
    <x:row r="119">
      <x:c r="A119" s="117"/>
      <x:c r="B119" s="117"/>
      <x:c r="C119" s="117"/>
      <x:c r="D119" s="117"/>
      <x:c r="E119" s="117"/>
      <x:c r="F119" s="117"/>
      <x:c r="G119" s="117"/>
      <x:c r="H119" s="117"/>
      <x:c r="I119" s="117"/>
      <x:c r="J119" s="117"/>
      <x:c r="K119" s="117"/>
    </x:row>
    <x:row r="120">
      <x:c r="A120" s="117"/>
      <x:c r="B120" s="117"/>
      <x:c r="C120" s="117"/>
      <x:c r="D120" s="117"/>
      <x:c r="E120" s="117"/>
      <x:c r="F120" s="117"/>
      <x:c r="G120" s="117"/>
      <x:c r="H120" s="117"/>
      <x:c r="I120" s="117"/>
      <x:c r="J120" s="117"/>
      <x:c r="K120" s="117"/>
    </x:row>
    <x:row r="121">
      <x:c r="A121" s="117"/>
      <x:c r="B121" s="117"/>
      <x:c r="C121" s="117"/>
      <x:c r="D121" s="117"/>
      <x:c r="E121" s="117"/>
      <x:c r="F121" s="117"/>
      <x:c r="G121" s="117"/>
      <x:c r="H121" s="117"/>
      <x:c r="I121" s="117"/>
      <x:c r="J121" s="117"/>
      <x:c r="K121" s="117"/>
    </x:row>
    <x:row r="122">
      <x:c r="A122" s="117"/>
      <x:c r="B122" s="117"/>
      <x:c r="C122" s="117"/>
      <x:c r="D122" s="117"/>
      <x:c r="E122" s="117"/>
      <x:c r="F122" s="117"/>
      <x:c r="G122" s="117"/>
      <x:c r="H122" s="117"/>
      <x:c r="I122" s="117"/>
      <x:c r="J122" s="117"/>
      <x:c r="K122" s="117"/>
    </x:row>
    <x:row r="123">
      <x:c r="A123" s="117"/>
      <x:c r="B123" s="117"/>
      <x:c r="C123" s="117"/>
      <x:c r="D123" s="117"/>
      <x:c r="E123" s="117"/>
      <x:c r="F123" s="117"/>
      <x:c r="G123" s="117"/>
      <x:c r="H123" s="117"/>
      <x:c r="I123" s="117"/>
      <x:c r="J123" s="117"/>
      <x:c r="K123" s="117"/>
    </x:row>
    <x:row r="124">
      <x:c r="A124" s="117"/>
      <x:c r="B124" s="117"/>
      <x:c r="C124" s="117"/>
      <x:c r="D124" s="117"/>
      <x:c r="E124" s="117"/>
      <x:c r="F124" s="117"/>
      <x:c r="G124" s="117"/>
      <x:c r="H124" s="117"/>
      <x:c r="I124" s="117"/>
      <x:c r="J124" s="117"/>
      <x:c r="K124" s="117"/>
    </x:row>
    <x:row r="125">
      <x:c r="A125" s="117"/>
      <x:c r="B125" s="117"/>
      <x:c r="C125" s="117"/>
      <x:c r="D125" s="117"/>
      <x:c r="E125" s="117"/>
      <x:c r="F125" s="117"/>
      <x:c r="G125" s="117"/>
      <x:c r="H125" s="117"/>
      <x:c r="I125" s="117"/>
      <x:c r="J125" s="117"/>
      <x:c r="K125" s="117"/>
    </x:row>
    <x:row r="126">
      <x:c r="A126" s="117"/>
      <x:c r="B126" s="117"/>
      <x:c r="C126" s="117"/>
      <x:c r="D126" s="117"/>
      <x:c r="E126" s="117"/>
      <x:c r="F126" s="117"/>
      <x:c r="G126" s="117"/>
      <x:c r="H126" s="117"/>
      <x:c r="I126" s="117"/>
      <x:c r="J126" s="117"/>
      <x:c r="K126" s="117"/>
    </x:row>
    <x:row r="127">
      <x:c r="A127" s="117"/>
      <x:c r="B127" s="117"/>
      <x:c r="C127" s="117"/>
      <x:c r="D127" s="117"/>
      <x:c r="E127" s="117"/>
      <x:c r="F127" s="117"/>
      <x:c r="G127" s="117"/>
      <x:c r="H127" s="117"/>
      <x:c r="I127" s="117"/>
      <x:c r="J127" s="117"/>
      <x:c r="K127" s="117"/>
    </x:row>
    <x:row r="128">
      <x:c r="A128" s="117"/>
      <x:c r="B128" s="117"/>
      <x:c r="C128" s="117"/>
      <x:c r="D128" s="117"/>
      <x:c r="E128" s="117"/>
      <x:c r="F128" s="117"/>
      <x:c r="G128" s="117"/>
      <x:c r="H128" s="117"/>
      <x:c r="I128" s="117"/>
      <x:c r="J128" s="117"/>
      <x:c r="K128" s="117"/>
    </x:row>
    <x:row r="129">
      <x:c r="A129" s="117"/>
      <x:c r="B129" s="117"/>
      <x:c r="C129" s="117"/>
      <x:c r="D129" s="117"/>
      <x:c r="E129" s="117"/>
      <x:c r="F129" s="117"/>
      <x:c r="G129" s="117"/>
      <x:c r="H129" s="117"/>
      <x:c r="I129" s="117"/>
      <x:c r="J129" s="117"/>
      <x:c r="K129" s="117"/>
    </x:row>
    <x:row r="130">
      <x:c r="A130" s="117"/>
      <x:c r="B130" s="117"/>
      <x:c r="C130" s="117"/>
      <x:c r="D130" s="117"/>
      <x:c r="E130" s="117"/>
      <x:c r="F130" s="117"/>
      <x:c r="G130" s="117"/>
      <x:c r="H130" s="117"/>
      <x:c r="I130" s="117"/>
      <x:c r="J130" s="117"/>
      <x:c r="K130" s="117"/>
    </x:row>
    <x:row r="131">
      <x:c r="A131" s="117"/>
      <x:c r="B131" s="117"/>
      <x:c r="C131" s="117"/>
      <x:c r="D131" s="117"/>
      <x:c r="E131" s="117"/>
      <x:c r="F131" s="117"/>
      <x:c r="G131" s="117"/>
      <x:c r="H131" s="117"/>
      <x:c r="I131" s="117"/>
      <x:c r="J131" s="117"/>
      <x:c r="K131" s="117"/>
    </x:row>
    <x:row r="132">
      <x:c r="A132" s="117"/>
      <x:c r="B132" s="117"/>
      <x:c r="C132" s="117"/>
      <x:c r="D132" s="117"/>
      <x:c r="E132" s="117"/>
      <x:c r="F132" s="117"/>
      <x:c r="G132" s="117"/>
      <x:c r="H132" s="117"/>
      <x:c r="I132" s="117"/>
      <x:c r="J132" s="117"/>
      <x:c r="K132" s="117"/>
    </x:row>
    <x:row r="133">
      <x:c r="A133" s="117"/>
      <x:c r="B133" s="117"/>
      <x:c r="C133" s="117"/>
      <x:c r="D133" s="117"/>
      <x:c r="E133" s="117"/>
      <x:c r="F133" s="117"/>
      <x:c r="G133" s="117"/>
      <x:c r="H133" s="117"/>
      <x:c r="I133" s="117"/>
      <x:c r="J133" s="117"/>
      <x:c r="K133" s="117"/>
    </x:row>
    <x:row r="134">
      <x:c r="A134" s="117"/>
      <x:c r="B134" s="117"/>
      <x:c r="C134" s="117"/>
      <x:c r="D134" s="117"/>
      <x:c r="E134" s="117"/>
      <x:c r="F134" s="117"/>
      <x:c r="G134" s="117"/>
      <x:c r="H134" s="117"/>
      <x:c r="I134" s="117"/>
      <x:c r="J134" s="117"/>
      <x:c r="K134" s="117"/>
    </x:row>
    <x:row r="135">
      <x:c r="A135" s="117"/>
      <x:c r="B135" s="117"/>
      <x:c r="C135" s="117"/>
      <x:c r="D135" s="117"/>
      <x:c r="E135" s="117"/>
      <x:c r="F135" s="117"/>
      <x:c r="G135" s="117"/>
      <x:c r="H135" s="117"/>
      <x:c r="I135" s="117"/>
      <x:c r="J135" s="117"/>
      <x:c r="K135" s="117"/>
    </x:row>
    <x:row r="136">
      <x:c r="A136" s="117"/>
      <x:c r="B136" s="117"/>
      <x:c r="C136" s="117"/>
      <x:c r="D136" s="117"/>
      <x:c r="E136" s="117"/>
      <x:c r="F136" s="117"/>
      <x:c r="G136" s="117"/>
      <x:c r="H136" s="117"/>
      <x:c r="I136" s="117"/>
      <x:c r="J136" s="117"/>
      <x:c r="K136" s="117"/>
    </x:row>
    <x:row r="137">
      <x:c r="A137" s="117"/>
      <x:c r="B137" s="117"/>
      <x:c r="C137" s="117"/>
      <x:c r="D137" s="117"/>
      <x:c r="E137" s="117"/>
      <x:c r="F137" s="117"/>
      <x:c r="G137" s="117"/>
      <x:c r="H137" s="117"/>
      <x:c r="I137" s="117"/>
      <x:c r="J137" s="117"/>
      <x:c r="K137" s="117"/>
    </x:row>
    <x:row r="138">
      <x:c r="A138" s="117"/>
      <x:c r="B138" s="117"/>
      <x:c r="C138" s="117"/>
      <x:c r="D138" s="117"/>
      <x:c r="E138" s="117"/>
      <x:c r="F138" s="117"/>
      <x:c r="G138" s="117"/>
      <x:c r="H138" s="117"/>
      <x:c r="I138" s="117"/>
      <x:c r="J138" s="117"/>
      <x:c r="K138" s="117"/>
    </x:row>
    <x:row r="139">
      <x:c r="A139" s="117"/>
      <x:c r="B139" s="117"/>
      <x:c r="C139" s="117"/>
      <x:c r="D139" s="117"/>
      <x:c r="E139" s="117"/>
      <x:c r="F139" s="117"/>
      <x:c r="G139" s="117"/>
      <x:c r="H139" s="117"/>
      <x:c r="I139" s="117"/>
      <x:c r="J139" s="117"/>
      <x:c r="K139" s="117"/>
    </x:row>
    <x:row r="140">
      <x:c r="A140" s="117"/>
      <x:c r="B140" s="117"/>
      <x:c r="C140" s="117"/>
      <x:c r="D140" s="117"/>
      <x:c r="E140" s="117"/>
      <x:c r="F140" s="117"/>
      <x:c r="G140" s="117"/>
      <x:c r="H140" s="117"/>
      <x:c r="I140" s="117"/>
      <x:c r="J140" s="117"/>
      <x:c r="K140" s="117"/>
    </x:row>
    <x:row r="141">
      <x:c r="A141" s="117"/>
      <x:c r="B141" s="117"/>
      <x:c r="C141" s="117"/>
      <x:c r="D141" s="117"/>
      <x:c r="E141" s="117"/>
      <x:c r="F141" s="117"/>
      <x:c r="G141" s="117"/>
      <x:c r="H141" s="117"/>
      <x:c r="I141" s="117"/>
      <x:c r="J141" s="117"/>
      <x:c r="K141" s="117"/>
    </x:row>
    <x:row r="142">
      <x:c r="A142" s="117"/>
      <x:c r="B142" s="117"/>
      <x:c r="C142" s="117"/>
      <x:c r="D142" s="117"/>
      <x:c r="E142" s="117"/>
      <x:c r="F142" s="117"/>
      <x:c r="G142" s="117"/>
      <x:c r="H142" s="117"/>
      <x:c r="I142" s="117"/>
      <x:c r="J142" s="117"/>
      <x:c r="K142" s="117"/>
    </x:row>
    <x:row r="143">
      <x:c r="A143" s="117"/>
      <x:c r="B143" s="117"/>
      <x:c r="C143" s="117"/>
      <x:c r="D143" s="117"/>
      <x:c r="E143" s="117"/>
      <x:c r="F143" s="117"/>
      <x:c r="G143" s="117"/>
      <x:c r="H143" s="117"/>
      <x:c r="I143" s="117"/>
      <x:c r="J143" s="117"/>
      <x:c r="K143" s="117"/>
    </x:row>
    <x:row r="144">
      <x:c r="A144" s="117"/>
      <x:c r="B144" s="117"/>
      <x:c r="C144" s="117"/>
      <x:c r="D144" s="117"/>
      <x:c r="E144" s="117"/>
      <x:c r="F144" s="117"/>
      <x:c r="G144" s="117"/>
      <x:c r="H144" s="117"/>
      <x:c r="I144" s="117"/>
      <x:c r="J144" s="117"/>
      <x:c r="K144" s="117"/>
    </x:row>
    <x:row r="145">
      <x:c r="A145" s="117"/>
      <x:c r="B145" s="117"/>
      <x:c r="C145" s="117"/>
      <x:c r="D145" s="117"/>
      <x:c r="E145" s="117"/>
      <x:c r="F145" s="117"/>
      <x:c r="G145" s="117"/>
      <x:c r="H145" s="117"/>
      <x:c r="I145" s="117"/>
      <x:c r="J145" s="117"/>
      <x:c r="K145" s="117"/>
    </x:row>
    <x:row r="146">
      <x:c r="A146" s="117"/>
      <x:c r="B146" s="117"/>
      <x:c r="C146" s="117"/>
      <x:c r="D146" s="117"/>
      <x:c r="E146" s="117"/>
      <x:c r="F146" s="117"/>
      <x:c r="G146" s="117"/>
      <x:c r="H146" s="117"/>
      <x:c r="I146" s="117"/>
      <x:c r="J146" s="117"/>
      <x:c r="K146" s="117"/>
    </x:row>
    <x:row r="147">
      <x:c r="A147" s="117"/>
      <x:c r="B147" s="117"/>
      <x:c r="C147" s="117"/>
      <x:c r="D147" s="117"/>
      <x:c r="E147" s="117"/>
      <x:c r="F147" s="117"/>
      <x:c r="G147" s="117"/>
      <x:c r="H147" s="117"/>
      <x:c r="I147" s="117"/>
      <x:c r="J147" s="117"/>
      <x:c r="K147" s="117"/>
    </x:row>
    <x:row r="148">
      <x:c r="A148" s="117"/>
      <x:c r="B148" s="117"/>
      <x:c r="C148" s="117"/>
      <x:c r="D148" s="117"/>
      <x:c r="E148" s="117"/>
      <x:c r="F148" s="117"/>
      <x:c r="G148" s="117"/>
      <x:c r="H148" s="117"/>
      <x:c r="I148" s="117"/>
      <x:c r="J148" s="117"/>
      <x:c r="K148" s="117"/>
    </x:row>
    <x:row r="149">
      <x:c r="A149" s="117"/>
      <x:c r="B149" s="117"/>
      <x:c r="C149" s="117"/>
      <x:c r="D149" s="117"/>
      <x:c r="E149" s="117"/>
      <x:c r="F149" s="117"/>
      <x:c r="G149" s="117"/>
      <x:c r="H149" s="117"/>
      <x:c r="I149" s="117"/>
      <x:c r="J149" s="117"/>
      <x:c r="K149" s="117"/>
    </x:row>
    <x:row r="150">
      <x:c r="A150" s="117"/>
      <x:c r="B150" s="117"/>
      <x:c r="C150" s="117"/>
      <x:c r="D150" s="117"/>
      <x:c r="E150" s="117"/>
      <x:c r="F150" s="117"/>
      <x:c r="G150" s="117"/>
      <x:c r="H150" s="117"/>
      <x:c r="I150" s="117"/>
      <x:c r="J150" s="117"/>
      <x:c r="K150" s="117"/>
    </x:row>
    <x:row r="151">
      <x:c r="A151" s="117"/>
      <x:c r="B151" s="117"/>
      <x:c r="C151" s="117"/>
      <x:c r="D151" s="117"/>
      <x:c r="E151" s="117"/>
      <x:c r="F151" s="117"/>
      <x:c r="G151" s="117"/>
      <x:c r="H151" s="117"/>
      <x:c r="I151" s="117"/>
      <x:c r="J151" s="117"/>
      <x:c r="K151" s="117"/>
    </x:row>
    <x:row r="152">
      <x:c r="A152" s="117"/>
      <x:c r="B152" s="117"/>
      <x:c r="C152" s="117"/>
      <x:c r="D152" s="117"/>
      <x:c r="E152" s="117"/>
      <x:c r="F152" s="117"/>
      <x:c r="G152" s="117"/>
      <x:c r="H152" s="117"/>
      <x:c r="I152" s="117"/>
      <x:c r="J152" s="117"/>
      <x:c r="K152" s="117"/>
    </x:row>
    <x:row r="153">
      <x:c r="A153" s="117"/>
      <x:c r="B153" s="117"/>
      <x:c r="C153" s="117"/>
      <x:c r="D153" s="117"/>
      <x:c r="E153" s="117"/>
      <x:c r="F153" s="117"/>
      <x:c r="G153" s="117"/>
      <x:c r="H153" s="117"/>
      <x:c r="I153" s="117"/>
      <x:c r="J153" s="117"/>
      <x:c r="K153" s="117"/>
    </x:row>
    <x:row r="154">
      <x:c r="A154" s="117"/>
      <x:c r="B154" s="117"/>
      <x:c r="C154" s="117"/>
      <x:c r="D154" s="117"/>
      <x:c r="E154" s="117"/>
      <x:c r="F154" s="117"/>
      <x:c r="G154" s="117"/>
      <x:c r="H154" s="117"/>
      <x:c r="I154" s="117"/>
      <x:c r="J154" s="117"/>
      <x:c r="K154" s="117"/>
    </x:row>
    <x:row r="155">
      <x:c r="A155" s="117"/>
      <x:c r="B155" s="117"/>
      <x:c r="C155" s="117"/>
      <x:c r="D155" s="117"/>
      <x:c r="E155" s="117"/>
      <x:c r="F155" s="117"/>
      <x:c r="G155" s="117"/>
      <x:c r="H155" s="117"/>
      <x:c r="I155" s="117"/>
      <x:c r="J155" s="117"/>
      <x:c r="K155" s="117"/>
    </x:row>
    <x:row r="156">
      <x:c r="A156" s="117"/>
      <x:c r="B156" s="117"/>
      <x:c r="C156" s="117"/>
      <x:c r="D156" s="117"/>
      <x:c r="E156" s="117"/>
      <x:c r="F156" s="117"/>
      <x:c r="G156" s="117"/>
      <x:c r="H156" s="117"/>
      <x:c r="I156" s="117"/>
      <x:c r="J156" s="117"/>
      <x:c r="K156" s="117"/>
    </x:row>
    <x:row r="157">
      <x:c r="A157" s="117"/>
      <x:c r="B157" s="117"/>
      <x:c r="C157" s="117"/>
      <x:c r="D157" s="117"/>
      <x:c r="E157" s="117"/>
      <x:c r="F157" s="117"/>
      <x:c r="G157" s="117"/>
      <x:c r="H157" s="117"/>
      <x:c r="I157" s="117"/>
      <x:c r="J157" s="117"/>
      <x:c r="K157" s="117"/>
    </x:row>
    <x:row r="158">
      <x:c r="A158" s="117"/>
      <x:c r="B158" s="117"/>
      <x:c r="C158" s="117"/>
      <x:c r="D158" s="117"/>
      <x:c r="E158" s="117"/>
      <x:c r="F158" s="117"/>
      <x:c r="G158" s="117"/>
      <x:c r="H158" s="117"/>
      <x:c r="I158" s="117"/>
      <x:c r="J158" s="117"/>
      <x:c r="K158" s="117"/>
    </x:row>
    <x:row r="159">
      <x:c r="A159" s="117"/>
      <x:c r="B159" s="117"/>
      <x:c r="C159" s="117"/>
      <x:c r="D159" s="117"/>
      <x:c r="E159" s="117"/>
      <x:c r="F159" s="117"/>
      <x:c r="G159" s="117"/>
      <x:c r="H159" s="117"/>
      <x:c r="I159" s="117"/>
      <x:c r="J159" s="117"/>
      <x:c r="K159" s="117"/>
    </x:row>
    <x:row r="160">
      <x:c r="A160" s="117"/>
      <x:c r="B160" s="117"/>
      <x:c r="C160" s="117"/>
      <x:c r="D160" s="117"/>
      <x:c r="E160" s="117"/>
      <x:c r="F160" s="117"/>
      <x:c r="G160" s="117"/>
      <x:c r="H160" s="117"/>
      <x:c r="I160" s="117"/>
      <x:c r="J160" s="117"/>
      <x:c r="K160" s="117"/>
    </x:row>
    <x:row r="161">
      <x:c r="A161" s="117"/>
      <x:c r="B161" s="117"/>
      <x:c r="C161" s="117"/>
      <x:c r="D161" s="117"/>
      <x:c r="E161" s="117"/>
      <x:c r="F161" s="117"/>
      <x:c r="G161" s="117"/>
      <x:c r="H161" s="117"/>
      <x:c r="I161" s="117"/>
      <x:c r="J161" s="117"/>
      <x:c r="K161" s="117"/>
    </x:row>
    <x:row r="162">
      <x:c r="A162" s="117"/>
      <x:c r="B162" s="117"/>
      <x:c r="C162" s="117"/>
      <x:c r="D162" s="117"/>
      <x:c r="E162" s="117"/>
      <x:c r="F162" s="117"/>
      <x:c r="G162" s="117"/>
      <x:c r="H162" s="117"/>
      <x:c r="I162" s="117"/>
      <x:c r="J162" s="117"/>
      <x:c r="K162" s="117"/>
    </x:row>
    <x:row r="163">
      <x:c r="A163" s="117"/>
      <x:c r="B163" s="117"/>
      <x:c r="C163" s="117"/>
      <x:c r="D163" s="117"/>
      <x:c r="E163" s="117"/>
      <x:c r="F163" s="117"/>
      <x:c r="G163" s="117"/>
      <x:c r="H163" s="117"/>
      <x:c r="I163" s="117"/>
      <x:c r="J163" s="117"/>
      <x:c r="K163" s="117"/>
    </x:row>
    <x:row r="164">
      <x:c r="A164" s="117"/>
      <x:c r="B164" s="117"/>
      <x:c r="C164" s="117"/>
      <x:c r="D164" s="117"/>
      <x:c r="E164" s="117"/>
      <x:c r="F164" s="117"/>
      <x:c r="G164" s="117"/>
      <x:c r="H164" s="117"/>
      <x:c r="I164" s="117"/>
      <x:c r="J164" s="117"/>
      <x:c r="K164" s="117"/>
    </x:row>
    <x:row r="165">
      <x:c r="A165" s="117"/>
      <x:c r="B165" s="117"/>
      <x:c r="C165" s="117"/>
      <x:c r="D165" s="117"/>
      <x:c r="E165" s="117"/>
      <x:c r="F165" s="117"/>
      <x:c r="G165" s="117"/>
      <x:c r="H165" s="117"/>
      <x:c r="I165" s="117"/>
      <x:c r="J165" s="117"/>
      <x:c r="K165" s="117"/>
    </x:row>
    <x:row r="166">
      <x:c r="A166" s="117"/>
      <x:c r="B166" s="117"/>
      <x:c r="C166" s="117"/>
      <x:c r="D166" s="117"/>
      <x:c r="E166" s="117"/>
      <x:c r="F166" s="117"/>
      <x:c r="G166" s="117"/>
      <x:c r="H166" s="117"/>
      <x:c r="I166" s="117"/>
      <x:c r="J166" s="117"/>
      <x:c r="K166" s="117"/>
    </x:row>
    <x:row r="167">
      <x:c r="A167" s="117"/>
      <x:c r="B167" s="117"/>
      <x:c r="C167" s="117"/>
      <x:c r="D167" s="117"/>
      <x:c r="E167" s="117"/>
      <x:c r="F167" s="117"/>
      <x:c r="G167" s="117"/>
      <x:c r="H167" s="117"/>
      <x:c r="I167" s="117"/>
      <x:c r="J167" s="117"/>
      <x:c r="K167" s="117"/>
    </x:row>
    <x:row r="168">
      <x:c r="A168" s="117"/>
      <x:c r="B168" s="117"/>
      <x:c r="C168" s="117"/>
      <x:c r="D168" s="117"/>
      <x:c r="E168" s="117"/>
      <x:c r="F168" s="117"/>
      <x:c r="G168" s="117"/>
      <x:c r="H168" s="117"/>
      <x:c r="I168" s="117"/>
      <x:c r="J168" s="117"/>
      <x:c r="K168" s="117"/>
    </x:row>
    <x:row r="169">
      <x:c r="A169" s="117"/>
      <x:c r="B169" s="117"/>
      <x:c r="C169" s="117"/>
      <x:c r="D169" s="117"/>
      <x:c r="E169" s="117"/>
      <x:c r="F169" s="117"/>
      <x:c r="G169" s="117"/>
      <x:c r="H169" s="117"/>
      <x:c r="I169" s="117"/>
      <x:c r="J169" s="117"/>
      <x:c r="K169" s="117"/>
    </x:row>
    <x:row r="170">
      <x:c r="A170" s="117"/>
      <x:c r="B170" s="117"/>
      <x:c r="C170" s="117"/>
      <x:c r="D170" s="117"/>
      <x:c r="E170" s="117"/>
      <x:c r="F170" s="117"/>
      <x:c r="G170" s="117"/>
      <x:c r="H170" s="117"/>
      <x:c r="I170" s="117"/>
      <x:c r="J170" s="117"/>
      <x:c r="K170" s="117"/>
    </x:row>
    <x:row r="171">
      <x:c r="A171" s="117"/>
      <x:c r="B171" s="117"/>
      <x:c r="C171" s="117"/>
      <x:c r="D171" s="117"/>
      <x:c r="E171" s="117"/>
      <x:c r="F171" s="117"/>
      <x:c r="G171" s="117"/>
      <x:c r="H171" s="117"/>
      <x:c r="I171" s="117"/>
      <x:c r="J171" s="117"/>
      <x:c r="K171" s="117"/>
    </x:row>
    <x:row r="172">
      <x:c r="A172" s="117"/>
      <x:c r="B172" s="117"/>
      <x:c r="C172" s="117"/>
      <x:c r="D172" s="117"/>
      <x:c r="E172" s="117"/>
      <x:c r="F172" s="117"/>
      <x:c r="G172" s="117"/>
      <x:c r="H172" s="117"/>
      <x:c r="I172" s="117"/>
      <x:c r="J172" s="117"/>
      <x:c r="K172" s="117"/>
    </x:row>
    <x:row r="173">
      <x:c r="A173" s="117"/>
      <x:c r="B173" s="117"/>
      <x:c r="C173" s="117"/>
      <x:c r="D173" s="117"/>
      <x:c r="E173" s="117"/>
      <x:c r="F173" s="117"/>
      <x:c r="G173" s="117"/>
      <x:c r="H173" s="117"/>
      <x:c r="I173" s="117"/>
      <x:c r="J173" s="117"/>
      <x:c r="K173" s="117"/>
    </x:row>
    <x:row r="174">
      <x:c r="A174" s="117"/>
      <x:c r="B174" s="117"/>
      <x:c r="C174" s="117"/>
      <x:c r="D174" s="117"/>
      <x:c r="E174" s="117"/>
      <x:c r="F174" s="117"/>
      <x:c r="G174" s="117"/>
      <x:c r="H174" s="117"/>
      <x:c r="I174" s="117"/>
      <x:c r="J174" s="117"/>
      <x:c r="K174" s="117"/>
    </x:row>
    <x:row r="175">
      <x:c r="A175" s="117"/>
      <x:c r="B175" s="117"/>
      <x:c r="C175" s="117"/>
      <x:c r="D175" s="117"/>
      <x:c r="E175" s="117"/>
      <x:c r="F175" s="117"/>
      <x:c r="G175" s="117"/>
      <x:c r="H175" s="117"/>
      <x:c r="I175" s="117"/>
      <x:c r="J175" s="117"/>
      <x:c r="K175" s="117"/>
    </x:row>
    <x:row r="176">
      <x:c r="A176" s="117"/>
      <x:c r="B176" s="117"/>
      <x:c r="C176" s="117"/>
      <x:c r="D176" s="117"/>
      <x:c r="E176" s="117"/>
      <x:c r="F176" s="117"/>
      <x:c r="G176" s="117"/>
      <x:c r="H176" s="117"/>
      <x:c r="I176" s="117"/>
      <x:c r="J176" s="117"/>
      <x:c r="K176" s="117"/>
    </x:row>
    <x:row r="177">
      <x:c r="A177" s="117"/>
      <x:c r="B177" s="117"/>
      <x:c r="C177" s="117"/>
      <x:c r="D177" s="117"/>
      <x:c r="E177" s="117"/>
      <x:c r="F177" s="117"/>
      <x:c r="G177" s="117"/>
      <x:c r="H177" s="117"/>
      <x:c r="I177" s="117"/>
      <x:c r="J177" s="117"/>
      <x:c r="K177" s="117"/>
    </x:row>
    <x:row r="178">
      <x:c r="A178" s="117"/>
      <x:c r="B178" s="117"/>
      <x:c r="C178" s="117"/>
      <x:c r="D178" s="117"/>
      <x:c r="E178" s="117"/>
      <x:c r="F178" s="117"/>
      <x:c r="G178" s="117"/>
      <x:c r="H178" s="117"/>
      <x:c r="I178" s="117"/>
      <x:c r="J178" s="117"/>
      <x:c r="K178" s="117"/>
    </x:row>
    <x:row r="179">
      <x:c r="A179" s="117"/>
      <x:c r="B179" s="117"/>
      <x:c r="C179" s="117"/>
      <x:c r="D179" s="117"/>
      <x:c r="E179" s="117"/>
      <x:c r="F179" s="117"/>
      <x:c r="G179" s="117"/>
      <x:c r="H179" s="117"/>
      <x:c r="I179" s="117"/>
      <x:c r="J179" s="117"/>
      <x:c r="K179" s="117"/>
    </x:row>
    <x:row r="180">
      <x:c r="A180" s="117"/>
      <x:c r="B180" s="117"/>
      <x:c r="C180" s="117"/>
      <x:c r="D180" s="117"/>
      <x:c r="E180" s="117"/>
      <x:c r="F180" s="117"/>
      <x:c r="G180" s="117"/>
      <x:c r="H180" s="117"/>
      <x:c r="I180" s="117"/>
      <x:c r="J180" s="117"/>
      <x:c r="K180" s="117"/>
    </x:row>
    <x:row r="181">
      <x:c r="A181" s="117"/>
      <x:c r="B181" s="117"/>
      <x:c r="C181" s="117"/>
      <x:c r="D181" s="117"/>
      <x:c r="E181" s="117"/>
      <x:c r="F181" s="117"/>
      <x:c r="G181" s="117"/>
      <x:c r="H181" s="117"/>
      <x:c r="I181" s="117"/>
      <x:c r="J181" s="117"/>
      <x:c r="K181" s="117"/>
    </x:row>
    <x:row r="182">
      <x:c r="A182" s="117"/>
      <x:c r="B182" s="117"/>
      <x:c r="C182" s="117"/>
      <x:c r="D182" s="117"/>
      <x:c r="E182" s="117"/>
      <x:c r="F182" s="117"/>
      <x:c r="G182" s="117"/>
      <x:c r="H182" s="117"/>
      <x:c r="I182" s="117"/>
      <x:c r="J182" s="117"/>
      <x:c r="K182" s="117"/>
    </x:row>
    <x:row r="183">
      <x:c r="A183" s="117"/>
      <x:c r="B183" s="117"/>
      <x:c r="C183" s="117"/>
      <x:c r="D183" s="117"/>
      <x:c r="E183" s="117"/>
      <x:c r="F183" s="117"/>
      <x:c r="G183" s="117"/>
      <x:c r="H183" s="117"/>
      <x:c r="I183" s="117"/>
      <x:c r="J183" s="117"/>
      <x:c r="K183" s="117"/>
    </x:row>
    <x:row r="184">
      <x:c r="A184" s="117"/>
      <x:c r="B184" s="117"/>
      <x:c r="C184" s="117"/>
      <x:c r="D184" s="117"/>
      <x:c r="E184" s="117"/>
      <x:c r="F184" s="117"/>
      <x:c r="G184" s="117"/>
      <x:c r="H184" s="117"/>
      <x:c r="I184" s="117"/>
      <x:c r="J184" s="117"/>
      <x:c r="K184" s="117"/>
    </x:row>
    <x:row r="185">
      <x:c r="A185" s="117"/>
      <x:c r="B185" s="117"/>
      <x:c r="C185" s="117"/>
      <x:c r="D185" s="117"/>
      <x:c r="E185" s="117"/>
      <x:c r="F185" s="117"/>
      <x:c r="G185" s="117"/>
      <x:c r="H185" s="117"/>
      <x:c r="I185" s="117"/>
      <x:c r="J185" s="117"/>
      <x:c r="K185" s="117"/>
    </x:row>
    <x:row r="186">
      <x:c r="A186" s="117"/>
      <x:c r="B186" s="117"/>
      <x:c r="C186" s="117"/>
      <x:c r="D186" s="117"/>
      <x:c r="E186" s="117"/>
      <x:c r="F186" s="117"/>
      <x:c r="G186" s="117"/>
      <x:c r="H186" s="117"/>
      <x:c r="I186" s="117"/>
      <x:c r="J186" s="117"/>
      <x:c r="K186" s="117"/>
    </x:row>
    <x:row r="187">
      <x:c r="A187" s="117"/>
      <x:c r="B187" s="117"/>
      <x:c r="C187" s="117"/>
      <x:c r="D187" s="117"/>
      <x:c r="E187" s="117"/>
      <x:c r="F187" s="117"/>
      <x:c r="G187" s="117"/>
      <x:c r="H187" s="117"/>
      <x:c r="I187" s="117"/>
      <x:c r="J187" s="117"/>
      <x:c r="K187" s="117"/>
    </x:row>
    <x:row r="188">
      <x:c r="A188" s="117"/>
      <x:c r="B188" s="117"/>
      <x:c r="C188" s="117"/>
      <x:c r="D188" s="117"/>
      <x:c r="E188" s="117"/>
      <x:c r="F188" s="117"/>
      <x:c r="G188" s="117"/>
      <x:c r="H188" s="117"/>
      <x:c r="I188" s="117"/>
      <x:c r="J188" s="117"/>
      <x:c r="K188" s="117"/>
    </x:row>
    <x:row r="189">
      <x:c r="A189" s="117"/>
      <x:c r="B189" s="117"/>
      <x:c r="C189" s="117"/>
      <x:c r="D189" s="117"/>
      <x:c r="E189" s="117"/>
      <x:c r="F189" s="117"/>
      <x:c r="G189" s="117"/>
      <x:c r="H189" s="117"/>
      <x:c r="I189" s="117"/>
      <x:c r="J189" s="117"/>
      <x:c r="K189" s="117"/>
    </x:row>
    <x:row r="190">
      <x:c r="A190" s="117"/>
      <x:c r="B190" s="117"/>
      <x:c r="C190" s="117"/>
      <x:c r="D190" s="117"/>
      <x:c r="E190" s="117"/>
      <x:c r="F190" s="117"/>
      <x:c r="G190" s="117"/>
      <x:c r="H190" s="117"/>
      <x:c r="I190" s="117"/>
      <x:c r="J190" s="117"/>
      <x:c r="K190" s="117"/>
    </x:row>
    <x:row r="191">
      <x:c r="A191" s="117"/>
      <x:c r="B191" s="117"/>
      <x:c r="C191" s="117"/>
      <x:c r="D191" s="117"/>
      <x:c r="E191" s="117"/>
      <x:c r="F191" s="117"/>
      <x:c r="G191" s="117"/>
      <x:c r="H191" s="117"/>
      <x:c r="I191" s="117"/>
      <x:c r="J191" s="117"/>
      <x:c r="K191" s="117"/>
    </x:row>
    <x:row r="192">
      <x:c r="A192" s="117"/>
      <x:c r="B192" s="117"/>
      <x:c r="C192" s="117"/>
      <x:c r="D192" s="117"/>
      <x:c r="E192" s="117"/>
      <x:c r="F192" s="117"/>
      <x:c r="G192" s="117"/>
      <x:c r="H192" s="117"/>
      <x:c r="I192" s="117"/>
      <x:c r="J192" s="117"/>
      <x:c r="K192" s="117"/>
    </x:row>
    <x:row r="193">
      <x:c r="A193" s="117"/>
      <x:c r="B193" s="117"/>
      <x:c r="C193" s="117"/>
      <x:c r="D193" s="117"/>
      <x:c r="E193" s="117"/>
      <x:c r="F193" s="117"/>
      <x:c r="G193" s="117"/>
      <x:c r="H193" s="117"/>
      <x:c r="I193" s="117"/>
      <x:c r="J193" s="117"/>
      <x:c r="K193" s="117"/>
    </x:row>
    <x:row r="194">
      <x:c r="A194" s="117"/>
      <x:c r="B194" s="117"/>
      <x:c r="C194" s="117"/>
      <x:c r="D194" s="117"/>
      <x:c r="E194" s="117"/>
      <x:c r="F194" s="117"/>
      <x:c r="G194" s="117"/>
      <x:c r="H194" s="117"/>
      <x:c r="I194" s="117"/>
      <x:c r="J194" s="117"/>
      <x:c r="K194" s="117"/>
    </x:row>
    <x:row r="195">
      <x:c r="A195" s="117"/>
      <x:c r="B195" s="117"/>
      <x:c r="C195" s="117"/>
      <x:c r="D195" s="117"/>
      <x:c r="E195" s="117"/>
      <x:c r="F195" s="117"/>
      <x:c r="G195" s="117"/>
      <x:c r="H195" s="117"/>
      <x:c r="I195" s="117"/>
      <x:c r="J195" s="117"/>
      <x:c r="K195" s="117"/>
    </x:row>
    <x:row r="196">
      <x:c r="A196" s="117"/>
      <x:c r="B196" s="117"/>
      <x:c r="C196" s="117"/>
      <x:c r="D196" s="117"/>
      <x:c r="E196" s="117"/>
      <x:c r="F196" s="117"/>
      <x:c r="G196" s="117"/>
      <x:c r="H196" s="117"/>
      <x:c r="I196" s="117"/>
      <x:c r="J196" s="117"/>
      <x:c r="K196" s="117"/>
    </x:row>
    <x:row r="197">
      <x:c r="A197" s="117"/>
      <x:c r="B197" s="117"/>
      <x:c r="C197" s="117"/>
      <x:c r="D197" s="117"/>
      <x:c r="E197" s="117"/>
      <x:c r="F197" s="117"/>
      <x:c r="G197" s="117"/>
      <x:c r="H197" s="117"/>
      <x:c r="I197" s="117"/>
      <x:c r="J197" s="117"/>
      <x:c r="K197" s="117"/>
    </x:row>
    <x:row r="198">
      <x:c r="A198" s="117"/>
      <x:c r="B198" s="117"/>
      <x:c r="C198" s="117"/>
      <x:c r="D198" s="117"/>
      <x:c r="E198" s="117"/>
      <x:c r="F198" s="117"/>
      <x:c r="G198" s="117"/>
      <x:c r="H198" s="117"/>
      <x:c r="I198" s="117"/>
      <x:c r="J198" s="117"/>
      <x:c r="K198" s="117"/>
    </x:row>
    <x:row r="199">
      <x:c r="A199" s="117"/>
      <x:c r="B199" s="117"/>
      <x:c r="C199" s="117"/>
      <x:c r="D199" s="117"/>
      <x:c r="E199" s="117"/>
      <x:c r="F199" s="117"/>
      <x:c r="G199" s="117"/>
      <x:c r="H199" s="117"/>
      <x:c r="I199" s="117"/>
      <x:c r="J199" s="117"/>
      <x:c r="K199" s="117"/>
    </x:row>
    <x:row r="200">
      <x:c r="A200" s="117"/>
      <x:c r="B200" s="117"/>
      <x:c r="C200" s="117"/>
      <x:c r="D200" s="117"/>
      <x:c r="E200" s="117"/>
      <x:c r="F200" s="117"/>
      <x:c r="G200" s="117"/>
      <x:c r="H200" s="117"/>
      <x:c r="I200" s="117"/>
      <x:c r="J200" s="117"/>
      <x:c r="K200" s="1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4aae53d6d1342b3"/>
  </x:tableParts>
</x:worksheet>
</file>